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ml.chartshapes+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ml.chartshapes+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DC5C7095-560C-4E20-8D3A-0292C6F72313}" xr6:coauthVersionLast="47" xr6:coauthVersionMax="47" xr10:uidLastSave="{00000000-0000-0000-0000-000000000000}"/>
  <bookViews>
    <workbookView xWindow="-120" yWindow="-120" windowWidth="20730" windowHeight="11160" activeTab="2" xr2:uid="{5AF5D4AF-D10E-435D-ABA8-B0D0494ED23E}"/>
  </bookViews>
  <sheets>
    <sheet name="Data" sheetId="1" r:id="rId1"/>
    <sheet name="KPI" sheetId="7" r:id="rId2"/>
    <sheet name="Rating" sheetId="9" r:id="rId3"/>
    <sheet name="Employee by Gender" sheetId="10" r:id="rId4"/>
    <sheet name="Education-wise Attrition" sheetId="12" r:id="rId5"/>
    <sheet name="Attrition By Job Role" sheetId="13" r:id="rId6"/>
    <sheet name="Department-wise Attrition" sheetId="14" r:id="rId7"/>
    <sheet name="Attrition By Age-Group" sheetId="15" r:id="rId8"/>
    <sheet name="Attrition By Marriage Status" sheetId="16" r:id="rId9"/>
    <sheet name="Dashboard" sheetId="8" r:id="rId10"/>
  </sheets>
  <definedNames>
    <definedName name="_xlchart.v1.0" hidden="1">'Attrition By Job Role'!$E$4:$E$12</definedName>
    <definedName name="_xlchart.v1.1" hidden="1">'Attrition By Job Role'!$F$3</definedName>
    <definedName name="_xlchart.v1.2" hidden="1">'Attrition By Job Role'!$F$4:$F$12</definedName>
    <definedName name="_xlchart.v1.5" hidden="1">'Attrition By Job Role'!$E$4:$E$12</definedName>
    <definedName name="_xlchart.v1.6" hidden="1">'Attrition By Job Role'!$F$3</definedName>
    <definedName name="_xlchart.v1.7" hidden="1">'Attrition By Job Role'!$F$4:$F$12</definedName>
    <definedName name="_xlchart.v2.3" hidden="1">'Attrition By Marriage Status'!$D$4:$D$6</definedName>
    <definedName name="_xlchart.v2.4" hidden="1">'Attrition By Marriage Status'!$E$4:$E$6</definedName>
    <definedName name="_xlchart.v2.8" hidden="1">'Attrition By Marriage Status'!$D$4:$D$6</definedName>
    <definedName name="_xlchart.v2.9" hidden="1">'Attrition By Marriage Status'!$E$4:$E$6</definedName>
    <definedName name="Slicer_Department">#N/A</definedName>
    <definedName name="Slicer_Education">#N/A</definedName>
    <definedName name="Slicer_Education_Field2">#N/A</definedName>
    <definedName name="Slicer_Gender2">#N/A</definedName>
    <definedName name="Slicer_Marital_Status">#N/A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 i="16" l="1"/>
  <c r="D6" i="16"/>
  <c r="D4" i="16"/>
  <c r="D5" i="14"/>
  <c r="D6" i="14"/>
  <c r="D4" i="14"/>
  <c r="E5" i="13"/>
  <c r="E6" i="13"/>
  <c r="E7" i="13"/>
  <c r="E8" i="13"/>
  <c r="E9" i="13"/>
  <c r="E10" i="13"/>
  <c r="E11" i="13"/>
  <c r="E12" i="13"/>
  <c r="E4" i="13"/>
  <c r="E5" i="16"/>
  <c r="E4" i="16"/>
  <c r="E6" i="14"/>
  <c r="F12" i="13"/>
  <c r="F10" i="13"/>
  <c r="F8" i="13"/>
  <c r="F6" i="13"/>
  <c r="F4" i="13"/>
  <c r="B11" i="10"/>
  <c r="E7" i="7"/>
  <c r="C7" i="7"/>
  <c r="A7" i="7"/>
  <c r="E6" i="16"/>
  <c r="E5" i="14"/>
  <c r="E4" i="14"/>
  <c r="F11" i="13"/>
  <c r="F9" i="13"/>
  <c r="F7" i="13"/>
  <c r="F5" i="13"/>
  <c r="B12" i="10"/>
  <c r="B6" i="9"/>
  <c r="D7" i="7"/>
  <c r="B7" i="7"/>
  <c r="C11" i="10" l="1"/>
  <c r="C12" i="10"/>
  <c r="C6" i="9"/>
  <c r="B7" i="9"/>
  <c r="C7" i="9" s="1"/>
  <c r="F4" i="14"/>
  <c r="F6" i="14"/>
  <c r="F5" i="14"/>
</calcChain>
</file>

<file path=xl/sharedStrings.xml><?xml version="1.0" encoding="utf-8"?>
<sst xmlns="http://schemas.openxmlformats.org/spreadsheetml/2006/main" count="19219" uniqueCount="1569">
  <si>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</si>
  <si>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</si>
  <si>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</si>
  <si>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</si>
  <si>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</si>
  <si>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</si>
  <si>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</si>
  <si>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</si>
  <si>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</si>
  <si>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</si>
  <si>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</si>
  <si>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</si>
  <si>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</si>
  <si>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</si>
  <si>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</si>
  <si>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</si>
  <si>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</si>
  <si>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</si>
  <si>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</si>
  <si>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</si>
  <si>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</si>
  <si>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</si>
  <si>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</si>
  <si>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</si>
  <si>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</si>
  <si>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</si>
  <si>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</si>
  <si>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</si>
  <si>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</si>
  <si>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</si>
  <si>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</si>
  <si>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</si>
  <si>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</si>
  <si>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</si>
  <si>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</si>
  <si>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</si>
  <si>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</si>
  <si>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</si>
  <si>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</si>
  <si>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</si>
  <si>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</si>
  <si>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</si>
  <si>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</si>
  <si>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</si>
  <si>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</si>
  <si>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</si>
  <si>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</si>
  <si>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</si>
  <si>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</si>
  <si>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</si>
  <si>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</si>
  <si>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</si>
  <si>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</si>
  <si>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</si>
  <si>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</si>
  <si>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</si>
  <si>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</si>
  <si>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</si>
  <si>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</si>
  <si>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</si>
  <si>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</si>
  <si>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</si>
  <si>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</si>
  <si>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</si>
  <si>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</si>
  <si>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</si>
  <si>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</si>
  <si>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</si>
  <si>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</si>
  <si>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</si>
  <si>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</si>
  <si>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</si>
  <si>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</si>
  <si>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</si>
  <si>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</si>
  <si>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</si>
  <si>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</si>
  <si>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</si>
  <si>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</si>
  <si>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</si>
  <si>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</si>
  <si>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</si>
  <si>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</si>
  <si>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</si>
  <si>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</si>
  <si>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</si>
  <si>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</si>
  <si>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</si>
  <si>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</si>
  <si>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</si>
  <si>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</si>
  <si>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</si>
  <si>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</si>
  <si>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</si>
  <si>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</si>
  <si>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</si>
  <si>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</si>
  <si>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</si>
  <si>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</si>
  <si>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</si>
  <si>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</si>
  <si>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</si>
  <si>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</si>
  <si>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</si>
  <si>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</si>
  <si>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</si>
  <si>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</si>
  <si>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</si>
  <si>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</si>
  <si>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</si>
  <si>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</si>
  <si>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</si>
  <si>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</si>
  <si>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</si>
  <si>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</si>
  <si>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</si>
  <si>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</si>
  <si>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</si>
  <si>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</si>
  <si>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</si>
  <si>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</si>
  <si>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</si>
  <si>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</si>
  <si>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</si>
  <si>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</si>
  <si>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</si>
  <si>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</si>
  <si>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</si>
  <si>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</si>
  <si>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</si>
  <si>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</si>
  <si>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</si>
  <si>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</si>
  <si>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</si>
  <si>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</si>
  <si>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</si>
  <si>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</si>
  <si>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</si>
  <si>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</si>
  <si>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</si>
  <si>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</si>
  <si>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</si>
  <si>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</si>
  <si>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</si>
  <si>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</si>
  <si>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</si>
  <si>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</si>
  <si>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</si>
  <si>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</si>
  <si>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</si>
  <si>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</si>
  <si>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</si>
  <si>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</si>
  <si>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</si>
  <si>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</si>
  <si>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</si>
  <si>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</si>
  <si>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</si>
  <si>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</si>
  <si>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</si>
  <si>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</si>
  <si>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</si>
  <si>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</si>
  <si>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</si>
  <si>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</si>
  <si>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</si>
  <si>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</si>
  <si>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</si>
  <si>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</si>
  <si>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</si>
  <si>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</si>
  <si>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</si>
  <si>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</si>
  <si>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</si>
  <si>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</si>
  <si>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</si>
  <si>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</si>
  <si>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</si>
  <si>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</si>
  <si>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</si>
  <si>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</si>
  <si>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</si>
  <si>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</si>
  <si>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</si>
  <si>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</si>
  <si>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</si>
  <si>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</si>
  <si>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</si>
  <si>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</si>
  <si>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</si>
  <si>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</si>
  <si>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</si>
  <si>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</si>
  <si>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</si>
  <si>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</si>
  <si>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</si>
  <si>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</si>
  <si>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</si>
  <si>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</si>
  <si>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</si>
  <si>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</si>
  <si>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</si>
  <si>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</si>
  <si>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</si>
  <si>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</si>
  <si>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</si>
  <si>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</si>
  <si>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</si>
  <si>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</si>
  <si>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</si>
  <si>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</si>
  <si>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</si>
  <si>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</si>
  <si>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</si>
  <si>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</si>
  <si>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</si>
  <si>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</si>
  <si>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</si>
  <si>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</si>
  <si>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</si>
  <si>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</si>
  <si>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</si>
  <si>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</si>
  <si>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</si>
  <si>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</si>
  <si>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</si>
  <si>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</si>
  <si>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</si>
  <si>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</si>
  <si>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</si>
  <si>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</si>
  <si>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</si>
  <si>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</si>
  <si>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</si>
  <si>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</si>
  <si>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</si>
  <si>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</si>
  <si>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</si>
  <si>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</si>
  <si>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</si>
  <si>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</si>
  <si>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</si>
  <si>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</si>
  <si>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</si>
  <si>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</si>
  <si>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</si>
  <si>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</si>
  <si>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</si>
  <si>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</si>
  <si>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</si>
  <si>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</si>
  <si>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</si>
  <si>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</si>
  <si>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</si>
  <si>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</si>
  <si>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</si>
  <si>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</si>
  <si>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</si>
  <si>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</si>
  <si>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</si>
  <si>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</si>
  <si>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</si>
  <si>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</si>
  <si>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</si>
  <si>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</si>
  <si>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</si>
  <si>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</si>
  <si>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</si>
  <si>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</si>
  <si>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</si>
  <si>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</si>
  <si>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</si>
  <si>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</si>
  <si>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</si>
  <si>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</si>
  <si>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</si>
  <si>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</si>
  <si>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</si>
  <si>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</si>
  <si>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</si>
  <si>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</si>
  <si>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</si>
  <si>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</si>
  <si>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</si>
  <si>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</si>
  <si>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</si>
  <si>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</si>
  <si>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</si>
  <si>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</si>
  <si>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</si>
  <si>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</si>
  <si>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</si>
  <si>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</si>
  <si>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</si>
  <si>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</si>
  <si>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</si>
  <si>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</si>
  <si>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</si>
  <si>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</si>
  <si>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</si>
  <si>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</si>
  <si>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</si>
  <si>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</si>
  <si>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</si>
  <si>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</si>
  <si>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</si>
  <si>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</si>
  <si>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</si>
  <si>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</si>
  <si>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</si>
  <si>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</si>
  <si>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</si>
  <si>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</si>
  <si>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</si>
  <si>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</si>
  <si>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</si>
  <si>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</si>
  <si>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</si>
  <si>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</si>
  <si>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</si>
  <si>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</si>
  <si>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</si>
  <si>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</si>
  <si>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</si>
  <si>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</si>
  <si>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</si>
  <si>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</si>
  <si>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</si>
  <si>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</si>
  <si>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</si>
  <si>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</si>
  <si>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</si>
  <si>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</si>
  <si>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</si>
  <si>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</si>
  <si>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</si>
  <si>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</si>
  <si>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</si>
  <si>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</si>
  <si>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</si>
  <si>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</si>
  <si>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</si>
  <si>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</si>
  <si>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</si>
  <si>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</si>
  <si>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</si>
  <si>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</si>
  <si>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</si>
  <si>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</si>
  <si>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</si>
  <si>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</si>
  <si>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</si>
  <si>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</si>
  <si>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</si>
  <si>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</si>
  <si>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</si>
  <si>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</si>
  <si>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</si>
  <si>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</si>
  <si>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</si>
  <si>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</si>
  <si>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</si>
  <si>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</si>
  <si>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</si>
  <si>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</si>
  <si>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</si>
  <si>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</si>
  <si>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</si>
  <si>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</si>
  <si>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</si>
  <si>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</si>
  <si>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</si>
  <si>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</si>
  <si>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</si>
  <si>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</si>
  <si>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</si>
  <si>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</si>
  <si>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</si>
  <si>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</si>
  <si>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</si>
  <si>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</si>
  <si>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</si>
  <si>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</si>
  <si>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</si>
  <si>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</si>
  <si>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</si>
  <si>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</si>
  <si>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</si>
  <si>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</si>
  <si>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</si>
  <si>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</si>
  <si>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</si>
  <si>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</si>
  <si>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</si>
  <si>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</si>
  <si>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</si>
  <si>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</si>
  <si>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</si>
  <si>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</si>
  <si>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</si>
  <si>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</si>
  <si>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</si>
  <si>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</si>
  <si>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</si>
  <si>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</si>
  <si>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</si>
  <si>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</si>
  <si>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</si>
  <si>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</si>
  <si>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</si>
  <si>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</si>
  <si>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</si>
  <si>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</si>
  <si>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</si>
  <si>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</si>
  <si>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</si>
  <si>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</si>
  <si>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</si>
  <si>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</si>
  <si>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</si>
  <si>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</si>
  <si>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</si>
  <si>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</si>
  <si>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</si>
  <si>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</si>
  <si>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</si>
  <si>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</si>
  <si>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</si>
  <si>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</si>
  <si>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</si>
  <si>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</si>
  <si>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</si>
  <si>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</si>
  <si>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</si>
  <si>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</si>
  <si>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</si>
  <si>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</si>
  <si>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</si>
  <si>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</si>
  <si>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</si>
  <si>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</si>
  <si>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</si>
  <si>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</si>
  <si>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</si>
  <si>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</si>
  <si>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</si>
  <si>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</si>
  <si>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</si>
  <si>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</si>
  <si>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</si>
  <si>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</si>
  <si>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</si>
  <si>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</si>
  <si>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</si>
  <si>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</si>
  <si>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</si>
  <si>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</si>
  <si>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</si>
  <si>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</si>
  <si>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</si>
  <si>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</si>
  <si>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</si>
  <si>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</si>
  <si>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</si>
  <si>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</si>
  <si>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</si>
  <si>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</si>
  <si>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</si>
  <si>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</si>
  <si>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</si>
  <si>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</si>
  <si>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</si>
  <si>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</si>
  <si>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</si>
  <si>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</si>
  <si>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</si>
  <si>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</si>
  <si>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</si>
  <si>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</si>
  <si>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</si>
  <si>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</si>
  <si>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</si>
  <si>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</si>
  <si>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</si>
  <si>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</si>
  <si>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</si>
  <si>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</si>
  <si>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</si>
  <si>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</si>
  <si>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</si>
  <si>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</si>
  <si>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</si>
  <si>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</si>
  <si>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</si>
  <si>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</si>
  <si>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</si>
  <si>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</si>
  <si>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</si>
  <si>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</si>
  <si>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</si>
  <si>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</si>
  <si>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</si>
  <si>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</si>
  <si>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</si>
  <si>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</si>
  <si>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</si>
  <si>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</si>
  <si>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</si>
  <si>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</si>
  <si>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</si>
  <si>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</si>
  <si>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</si>
  <si>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</si>
  <si>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</si>
  <si>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</si>
  <si>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</si>
  <si>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</si>
  <si>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</si>
  <si>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</si>
  <si>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</si>
  <si>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</si>
  <si>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</si>
  <si>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</si>
  <si>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</si>
  <si>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</si>
  <si>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</si>
  <si>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</si>
  <si>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</si>
  <si>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</si>
  <si>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</si>
  <si>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</si>
  <si>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</si>
  <si>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</si>
  <si>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</si>
  <si>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</si>
  <si>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</si>
  <si>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</si>
  <si>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</si>
  <si>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</si>
  <si>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</si>
  <si>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</si>
  <si>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</si>
  <si>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</si>
  <si>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</si>
  <si>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</si>
  <si>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</si>
  <si>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</si>
  <si>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</si>
  <si>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</si>
  <si>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</si>
  <si>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</si>
  <si>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</si>
  <si>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</si>
  <si>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</si>
  <si>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</si>
  <si>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</si>
  <si>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</si>
  <si>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</si>
  <si>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</si>
  <si>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</si>
  <si>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</si>
  <si>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</si>
  <si>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</si>
  <si>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</si>
  <si>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</si>
  <si>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</si>
  <si>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</si>
  <si>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</si>
  <si>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</si>
  <si>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</si>
  <si>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</si>
  <si>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</si>
  <si>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</si>
  <si>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</si>
  <si>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</si>
  <si>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</si>
  <si>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</si>
  <si>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</si>
  <si>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</si>
  <si>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</si>
  <si>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</si>
  <si>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</si>
  <si>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</si>
  <si>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</si>
  <si>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</si>
  <si>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</si>
  <si>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</si>
  <si>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</si>
  <si>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</si>
  <si>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</si>
  <si>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</si>
  <si>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</si>
  <si>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</si>
  <si>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</si>
  <si>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</si>
  <si>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</si>
  <si>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</si>
  <si>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</si>
  <si>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</si>
  <si>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</si>
  <si>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</si>
  <si>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</si>
  <si>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</si>
  <si>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</si>
  <si>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</si>
  <si>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</si>
  <si>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</si>
  <si>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</si>
  <si>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</si>
  <si>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</si>
  <si>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</si>
  <si>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</si>
  <si>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</si>
  <si>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</si>
  <si>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</si>
  <si>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</si>
  <si>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</si>
  <si>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</si>
  <si>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</si>
  <si>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</si>
  <si>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</si>
  <si>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</si>
  <si>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</si>
  <si>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</si>
  <si>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</si>
  <si>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</si>
  <si>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</si>
  <si>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</si>
  <si>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</si>
  <si>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</si>
  <si>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</si>
  <si>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</si>
  <si>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</si>
  <si>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</si>
  <si>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</si>
  <si>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</si>
  <si>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</si>
  <si>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</si>
  <si>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</si>
  <si>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</si>
  <si>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</si>
  <si>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</si>
  <si>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</si>
  <si>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</si>
  <si>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</si>
  <si>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</si>
  <si>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</si>
  <si>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</si>
  <si>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</si>
  <si>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</si>
  <si>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</si>
  <si>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</si>
  <si>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</si>
  <si>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</si>
  <si>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</si>
  <si>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</si>
  <si>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</si>
  <si>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</si>
  <si>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</si>
  <si>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</si>
  <si>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</si>
  <si>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</si>
  <si>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</si>
  <si>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</si>
  <si>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</si>
  <si>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</si>
  <si>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</si>
  <si>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</si>
  <si>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</si>
  <si>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</si>
  <si>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</si>
  <si>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</si>
  <si>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</si>
  <si>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</si>
  <si>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</si>
  <si>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</si>
  <si>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</si>
  <si>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</si>
  <si>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</si>
  <si>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</si>
  <si>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</si>
  <si>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</si>
  <si>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</si>
  <si>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</si>
  <si>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</si>
  <si>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</si>
  <si>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</si>
  <si>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</si>
  <si>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</si>
  <si>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</si>
  <si>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</si>
  <si>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</si>
  <si>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</si>
  <si>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</si>
  <si>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</si>
  <si>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</si>
  <si>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</si>
  <si>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</si>
  <si>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</si>
  <si>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</si>
  <si>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</si>
  <si>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</si>
  <si>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</si>
  <si>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</si>
  <si>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</si>
  <si>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</si>
  <si>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</si>
  <si>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</si>
  <si>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</si>
  <si>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</si>
  <si>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</si>
  <si>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</si>
  <si>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</si>
  <si>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</si>
  <si>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</si>
  <si>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</si>
  <si>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</si>
  <si>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</si>
  <si>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</si>
  <si>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</si>
  <si>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</si>
  <si>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</si>
  <si>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</si>
  <si>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</si>
  <si>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</si>
  <si>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</si>
  <si>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</si>
  <si>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</si>
  <si>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</si>
  <si>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</si>
  <si>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</si>
  <si>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</si>
  <si>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</si>
  <si>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</si>
  <si>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</si>
  <si>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</si>
  <si>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</si>
  <si>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</si>
  <si>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</si>
  <si>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</si>
  <si>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</si>
  <si>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</si>
  <si>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</si>
  <si>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</si>
  <si>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</si>
  <si>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</si>
  <si>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</si>
  <si>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</si>
  <si>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</si>
  <si>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</si>
  <si>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</si>
  <si>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</si>
  <si>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</si>
  <si>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</si>
  <si>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</si>
  <si>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</si>
  <si>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</si>
  <si>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</si>
  <si>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</si>
  <si>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</si>
  <si>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</si>
  <si>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</si>
  <si>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</si>
  <si>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</si>
  <si>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</si>
  <si>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</si>
  <si>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</si>
  <si>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</si>
  <si>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</si>
  <si>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</si>
  <si>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</si>
  <si>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</si>
  <si>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</si>
  <si>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</si>
  <si>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</si>
  <si>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</si>
  <si>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</si>
  <si>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</si>
  <si>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</si>
  <si>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</si>
  <si>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</si>
  <si>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</si>
  <si>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</si>
  <si>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</si>
  <si>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</si>
  <si>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</si>
  <si>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</si>
  <si>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</si>
  <si>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</si>
  <si>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</si>
  <si>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</si>
  <si>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</si>
  <si>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</si>
  <si>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</si>
  <si>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</si>
  <si>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</si>
  <si>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</si>
  <si>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</si>
  <si>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</si>
  <si>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</si>
  <si>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</si>
  <si>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</si>
  <si>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</si>
  <si>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</si>
  <si>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</si>
  <si>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</si>
  <si>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</si>
  <si>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</si>
  <si>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</si>
  <si>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</si>
  <si>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</si>
  <si>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</si>
  <si>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</si>
  <si>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</si>
  <si>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</si>
  <si>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</si>
  <si>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</si>
  <si>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</si>
  <si>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</si>
  <si>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</si>
  <si>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</si>
  <si>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</si>
  <si>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</si>
  <si>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</si>
  <si>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</si>
  <si>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</si>
  <si>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</si>
  <si>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</si>
  <si>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</si>
  <si>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</si>
  <si>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</si>
  <si>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</si>
  <si>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</si>
  <si>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</si>
  <si>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</si>
  <si>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</si>
  <si>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</si>
  <si>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</si>
  <si>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</si>
  <si>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</si>
  <si>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</si>
  <si>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</si>
  <si>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</si>
  <si>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</si>
  <si>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</si>
  <si>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</si>
  <si>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</si>
  <si>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</si>
  <si>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</si>
  <si>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</si>
  <si>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</si>
  <si>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</si>
  <si>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</si>
  <si>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</si>
  <si>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</si>
  <si>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</si>
  <si>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</si>
  <si>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</si>
  <si>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</si>
  <si>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</si>
  <si>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</si>
  <si>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</si>
  <si>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</si>
  <si>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</si>
  <si>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</si>
  <si>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</si>
  <si>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</si>
  <si>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</si>
  <si>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</si>
  <si>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</si>
  <si>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</si>
  <si>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</si>
  <si>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</si>
  <si>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</si>
  <si>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</si>
  <si>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</si>
  <si>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</si>
  <si>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</si>
  <si>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</si>
  <si>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</si>
  <si>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</si>
  <si>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</si>
  <si>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</si>
  <si>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</si>
  <si>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</si>
  <si>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</si>
  <si>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</si>
  <si>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</si>
  <si>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</si>
  <si>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</si>
  <si>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</si>
  <si>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</si>
  <si>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</si>
  <si>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</si>
  <si>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</si>
  <si>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</si>
  <si>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</si>
  <si>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</si>
  <si>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</si>
  <si>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</si>
  <si>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</si>
  <si>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</si>
  <si>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</si>
  <si>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</si>
  <si>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</si>
  <si>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</si>
  <si>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</si>
  <si>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</si>
  <si>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</si>
  <si>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</si>
  <si>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</si>
  <si>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</si>
  <si>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</si>
  <si>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</si>
  <si>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</si>
  <si>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</si>
  <si>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</si>
  <si>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</si>
  <si>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</si>
  <si>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</si>
  <si>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</si>
  <si>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</si>
  <si>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</si>
  <si>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</si>
  <si>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</si>
  <si>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</si>
  <si>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</si>
  <si>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</si>
  <si>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</si>
  <si>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</si>
  <si>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</si>
  <si>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</si>
  <si>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</si>
  <si>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</si>
  <si>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</si>
  <si>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</si>
  <si>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</si>
  <si>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</si>
  <si>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</si>
  <si>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</si>
  <si>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</si>
  <si>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</si>
  <si>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</si>
  <si>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</si>
  <si>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</si>
  <si>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</si>
  <si>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</si>
  <si>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</si>
  <si>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</si>
  <si>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</si>
  <si>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</si>
  <si>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</si>
  <si>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</si>
  <si>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</si>
  <si>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</si>
  <si>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</si>
  <si>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</si>
  <si>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</si>
  <si>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</si>
  <si>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</si>
  <si>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</si>
  <si>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</si>
  <si>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</si>
  <si>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</si>
  <si>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</si>
  <si>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</si>
  <si>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</si>
  <si>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</si>
  <si>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</si>
  <si>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</si>
  <si>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</si>
  <si>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</si>
  <si>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</si>
  <si>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</si>
  <si>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</si>
  <si>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</si>
  <si>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</si>
  <si>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</si>
  <si>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</si>
  <si>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</si>
  <si>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</si>
  <si>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</si>
  <si>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</si>
  <si>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</si>
  <si>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</si>
  <si>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</si>
  <si>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</si>
  <si>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</si>
  <si>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</si>
  <si>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</si>
  <si>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</si>
  <si>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</si>
  <si>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</si>
  <si>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</si>
  <si>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</si>
  <si>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</si>
  <si>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</si>
  <si>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</si>
  <si>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</si>
  <si>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</si>
  <si>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</si>
  <si>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</si>
  <si>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</si>
  <si>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</si>
  <si>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</si>
  <si>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</si>
  <si>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</si>
  <si>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</si>
  <si>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</si>
  <si>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</si>
  <si>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</si>
  <si>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</si>
  <si>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</si>
  <si>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</si>
  <si>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</si>
  <si>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</si>
  <si>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</si>
  <si>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</si>
  <si>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</si>
  <si>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</si>
  <si>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</si>
  <si>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</si>
  <si>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</si>
  <si>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</si>
  <si>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</si>
  <si>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</si>
  <si>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</si>
  <si>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</si>
  <si>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</si>
  <si>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</si>
  <si>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</si>
  <si>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</si>
  <si>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</si>
  <si>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</si>
  <si>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</si>
  <si>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</si>
  <si>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</si>
  <si>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</si>
  <si>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</si>
  <si>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</si>
  <si>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</si>
  <si>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</si>
  <si>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</si>
  <si>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</si>
  <si>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</si>
  <si>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</si>
  <si>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</si>
  <si>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</si>
  <si>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</si>
  <si>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</si>
  <si>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</si>
  <si>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</si>
  <si>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</si>
  <si>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</si>
  <si>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</si>
  <si>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</si>
  <si>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</si>
  <si>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</si>
  <si>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</si>
  <si>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</si>
  <si>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</si>
  <si>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</si>
  <si>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</si>
  <si>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</si>
  <si>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</si>
  <si>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</si>
  <si>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</si>
  <si>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</si>
  <si>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</si>
  <si>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</si>
  <si>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</si>
  <si>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</si>
  <si>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</si>
  <si>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</si>
  <si>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</si>
  <si>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</si>
  <si>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</si>
  <si>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</si>
  <si>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</si>
  <si>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</si>
  <si>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</si>
  <si>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</si>
  <si>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</si>
  <si>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</si>
  <si>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</si>
  <si>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</si>
  <si>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</si>
  <si>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</si>
  <si>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</si>
  <si>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</si>
  <si>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</si>
  <si>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</si>
  <si>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</si>
  <si>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</si>
  <si>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</si>
  <si>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</si>
  <si>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</si>
  <si>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</si>
  <si>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</si>
  <si>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</si>
  <si>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</si>
  <si>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</si>
  <si>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</si>
  <si>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</si>
  <si>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</si>
  <si>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</si>
  <si>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</si>
  <si>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</si>
  <si>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</si>
  <si>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</si>
  <si>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</si>
  <si>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</si>
  <si>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</si>
  <si>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</si>
  <si>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</si>
  <si>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</si>
  <si>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</si>
  <si>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</si>
  <si>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</si>
  <si>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</si>
  <si>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</si>
  <si>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</si>
  <si>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</si>
  <si>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</si>
  <si>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</si>
  <si>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</si>
  <si>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</si>
  <si>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</si>
  <si>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</si>
  <si>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</si>
  <si>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</si>
  <si>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</si>
  <si>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</si>
  <si>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</si>
  <si>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</si>
  <si>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</si>
  <si>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</si>
  <si>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</si>
  <si>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</si>
  <si>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</si>
  <si>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</si>
  <si>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</si>
  <si>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</si>
  <si>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</si>
  <si>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</si>
  <si>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</si>
  <si>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</si>
  <si>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</si>
  <si>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</si>
  <si>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</si>
  <si>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</si>
  <si>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</si>
  <si>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</si>
  <si>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</si>
  <si>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</si>
  <si>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</si>
  <si>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</si>
  <si>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</si>
  <si>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</si>
  <si>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</si>
  <si>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</si>
  <si>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</si>
  <si>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</si>
  <si>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</si>
  <si>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</si>
  <si>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</si>
  <si>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</si>
  <si>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</si>
  <si>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</si>
  <si>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</si>
  <si>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</si>
  <si>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</si>
  <si>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</si>
  <si>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</si>
  <si>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</si>
  <si>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</si>
  <si>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</si>
  <si>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</si>
  <si>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</si>
  <si>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</si>
  <si>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</si>
  <si>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</si>
  <si>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</si>
  <si>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</si>
  <si>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</si>
  <si>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</si>
  <si>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</si>
  <si>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</si>
  <si>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</si>
  <si>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</si>
  <si>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</si>
  <si>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</si>
  <si>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</si>
  <si>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</si>
  <si>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</si>
  <si>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</si>
  <si>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</si>
  <si>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</si>
  <si>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</si>
  <si>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</si>
  <si>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</si>
  <si>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</si>
  <si>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</si>
  <si>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</si>
  <si>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</si>
  <si>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</si>
  <si>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</si>
  <si>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</si>
  <si>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</si>
  <si>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</si>
  <si>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</si>
  <si>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</si>
  <si>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</si>
  <si>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</si>
  <si>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</si>
  <si>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</si>
  <si>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</si>
  <si>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</si>
  <si>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</si>
  <si>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</si>
  <si>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</si>
  <si>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</si>
  <si>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</si>
  <si>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</si>
  <si>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</si>
  <si>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</si>
  <si>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</si>
  <si>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</si>
  <si>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</si>
  <si>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</si>
  <si>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</si>
  <si>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</si>
  <si>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</si>
  <si>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</si>
  <si>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</si>
  <si>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</si>
  <si>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</si>
  <si>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</si>
  <si>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</si>
  <si>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</si>
  <si>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</si>
  <si>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</si>
  <si>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</si>
  <si>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</si>
  <si>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</si>
  <si>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</si>
  <si>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</si>
  <si>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</si>
  <si>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</si>
  <si>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</si>
  <si>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</si>
  <si>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</si>
  <si>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</si>
  <si>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</si>
  <si>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</si>
  <si>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</si>
  <si>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</si>
  <si>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</si>
  <si>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</si>
  <si>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</si>
  <si>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</si>
  <si>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</si>
  <si>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</si>
  <si>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</si>
  <si>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</si>
  <si>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</si>
  <si>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</si>
  <si>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</si>
  <si>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</si>
  <si>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</si>
  <si>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</si>
  <si>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</si>
  <si>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</si>
  <si>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</si>
  <si>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</si>
  <si>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</si>
  <si>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</si>
  <si>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</si>
  <si>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</si>
  <si>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</si>
  <si>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</si>
  <si>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</si>
  <si>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</si>
  <si>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</si>
  <si>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</si>
  <si>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</si>
  <si>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</si>
  <si>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</si>
  <si>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</si>
  <si>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</si>
  <si>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</si>
  <si>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</si>
  <si>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</si>
  <si>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</si>
  <si>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</si>
  <si>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</si>
  <si>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</si>
  <si>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</si>
  <si>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</si>
  <si>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</si>
  <si>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</si>
  <si>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</si>
  <si>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</si>
  <si>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</si>
  <si>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</si>
  <si>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</si>
  <si>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</si>
  <si>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</si>
  <si>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</si>
  <si>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</si>
  <si>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</si>
  <si>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</si>
  <si>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</si>
  <si>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</si>
  <si>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</si>
  <si>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</si>
  <si>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</si>
  <si>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</si>
  <si>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</si>
  <si>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</si>
  <si>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</si>
  <si>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</si>
  <si>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</si>
  <si>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</si>
  <si>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</si>
  <si>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</si>
  <si>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</si>
  <si>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</si>
  <si>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</si>
  <si>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</si>
  <si>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</si>
  <si>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</si>
  <si>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</si>
  <si>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</si>
  <si>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</si>
  <si>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</si>
  <si>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</si>
  <si>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</si>
  <si>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</si>
  <si>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</si>
  <si>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</si>
  <si>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</si>
  <si>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</si>
  <si>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</si>
  <si>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</si>
  <si>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</si>
  <si>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</si>
  <si>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</si>
  <si>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</si>
  <si>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</si>
  <si>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</si>
  <si>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</si>
  <si>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</si>
  <si>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</si>
  <si>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</si>
  <si>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</si>
  <si>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</si>
  <si>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</si>
  <si>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</si>
  <si>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</si>
  <si>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</si>
  <si>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</si>
  <si>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</si>
  <si>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</si>
  <si>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</si>
  <si>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</si>
  <si>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</si>
  <si>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</si>
  <si>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</si>
  <si>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</si>
  <si>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</si>
  <si>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</si>
  <si>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</si>
  <si>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</si>
  <si>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</si>
  <si>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</si>
  <si>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</si>
  <si>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</si>
  <si>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</si>
  <si>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</si>
  <si>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</si>
  <si>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</si>
  <si>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</si>
  <si>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</si>
  <si>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</si>
  <si>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</si>
  <si>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</si>
  <si>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</si>
  <si>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</si>
  <si>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</si>
  <si>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</si>
  <si>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</si>
  <si>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</si>
  <si>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</si>
  <si>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</si>
  <si>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</si>
  <si>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</si>
  <si>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</si>
  <si>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</si>
  <si>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</si>
  <si>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</si>
  <si>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</si>
  <si>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</si>
  <si>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</si>
  <si>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</si>
  <si>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</si>
  <si>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</si>
  <si>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</si>
  <si>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</si>
  <si>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</si>
  <si>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</si>
  <si>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</si>
  <si>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</si>
  <si>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</si>
  <si>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</si>
  <si>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</si>
  <si>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</si>
  <si>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</si>
  <si>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</si>
  <si>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</si>
  <si>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</si>
  <si>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</si>
  <si>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</si>
  <si>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</si>
  <si>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</si>
  <si>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</si>
  <si>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</si>
  <si>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</si>
  <si>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</si>
  <si>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</si>
  <si>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</si>
  <si>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</si>
  <si>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</si>
  <si>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</si>
  <si>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</si>
  <si>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</si>
  <si>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</si>
  <si>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</si>
  <si>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</si>
  <si>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</si>
  <si>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</si>
  <si>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</si>
  <si>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</si>
  <si>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</si>
  <si>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</si>
  <si>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</si>
  <si>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</si>
  <si>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</si>
  <si>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</si>
  <si>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</si>
  <si>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</si>
  <si>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</si>
  <si>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</si>
  <si>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</si>
  <si>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</si>
  <si>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</si>
  <si>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</si>
  <si>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</si>
  <si>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</si>
  <si>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</si>
  <si>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</si>
  <si>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</si>
  <si>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</si>
  <si>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</si>
  <si>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</si>
  <si>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</si>
  <si>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</si>
  <si>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</si>
  <si>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</si>
  <si>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</si>
  <si>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</si>
  <si>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</si>
  <si>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</si>
  <si>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</si>
  <si>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</si>
  <si>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</si>
  <si>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</si>
  <si>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</si>
  <si>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</si>
  <si>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</si>
  <si>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</si>
  <si>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</si>
  <si>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</si>
  <si>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</si>
  <si>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</si>
  <si>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</si>
  <si>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</si>
  <si>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</si>
  <si>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</si>
  <si>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</si>
  <si>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</si>
  <si>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</si>
  <si>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</si>
  <si>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</si>
  <si>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</si>
  <si>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</si>
  <si>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</si>
  <si>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</si>
  <si>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</si>
  <si>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</si>
  <si>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</si>
  <si>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</si>
  <si>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</si>
  <si>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</si>
  <si>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</si>
  <si>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</si>
  <si>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</si>
  <si>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</si>
  <si>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</si>
  <si>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</si>
  <si>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</si>
  <si>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</si>
  <si>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</si>
  <si>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</si>
  <si>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</si>
  <si>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</si>
  <si>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</si>
  <si>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</si>
  <si>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</si>
  <si>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</si>
  <si>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</si>
  <si>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</si>
  <si>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</si>
  <si>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</si>
  <si>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</si>
  <si>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</si>
  <si>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</si>
  <si>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</si>
  <si>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</si>
  <si>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</si>
  <si>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</si>
  <si>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</si>
  <si>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</si>
  <si>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</si>
  <si>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</si>
  <si>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</si>
  <si>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</si>
  <si>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</si>
  <si>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</si>
  <si>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</si>
  <si>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</si>
  <si>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</si>
  <si>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</si>
  <si>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</si>
  <si>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</si>
  <si>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</si>
  <si>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</si>
  <si>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</si>
  <si>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</si>
  <si>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</si>
  <si>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</si>
  <si>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</si>
  <si>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</si>
  <si>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</si>
  <si>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</si>
  <si>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</si>
  <si>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</si>
  <si>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</si>
  <si>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</si>
  <si>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Average Age</t>
  </si>
  <si>
    <t>Active Employees</t>
  </si>
  <si>
    <t>Attrition Rate</t>
  </si>
  <si>
    <t>Average of Job Satisfaction</t>
  </si>
  <si>
    <t>Rating</t>
  </si>
  <si>
    <t>Remaining Rating</t>
  </si>
  <si>
    <t>Row Labels</t>
  </si>
  <si>
    <t>Grand Total</t>
  </si>
  <si>
    <t>Count of CF_attrition count</t>
  </si>
  <si>
    <t>Attrition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</si>
</sst>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2"/>
      <color theme="1"/>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0" fillId="0" borderId="0" xfId="0" applyNumberFormat="1"/>
    <xf numFmtId="0" fontId="2" fillId="0" borderId="0" xfId="0" applyFont="1"/>
    <xf numFmtId="9" fontId="0" fillId="0" borderId="0" xfId="1" applyFont="1"/>
    <xf numFmtId="10" fontId="0" fillId="0" borderId="0" xfId="1" applyNumberFormat="1" applyFont="1"/>
    <xf numFmtId="164" fontId="0" fillId="0" borderId="0" xfId="0" applyNumberFormat="1"/>
    <xf numFmtId="0" fontId="0" fillId="2" borderId="0" xfId="0" applyFill="1"/>
    <xf numFmtId="0" fontId="0" fillId="0" borderId="0" xfId="0" pivotButton="1"/>
    <xf numFmtId="0" fontId="0" fillId="0" borderId="0" xfId="0" applyAlignment="1">
      <alignment horizontal="left"/>
    </xf>
  </cellXfs>
  <cellStyles count="2">
    <cellStyle name="Normal" xfId="0" builtinId="0"/>
    <cellStyle name="Percent" xfId="1" builtinId="5"/>
  </cellStyles>
  <dxfs count="1">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3-8303-364E-BB2E-395230F4C85C}"/>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2-8303-364E-BB2E-395230F4C85C}"/>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0-8303-364E-BB2E-395230F4C85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2-F486-544C-9DC9-6F287EEE2158}"/>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1-F486-544C-9DC9-6F287EEE2158}"/>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F486-544C-9DC9-6F287EEE215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9261-8742-BEAF-DF5750B7B815}"/>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2-9261-8742-BEAF-DF5750B7B815}"/>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9261-8742-BEAF-DF5750B7B81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[HR-Employee-Analysis.xlsx]Education-wise Attrition!Education-wise Attrition</c:name>
    <c:fmtId val="1"/>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5BB1-504A-B23B-1636E50F3757}"/>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noFill/>
              </a:ln>
              <a:effectLst/>
            </c:spPr>
            <c:extLst>
              <c:ext xmlns:c16="http://schemas.microsoft.com/office/drawing/2014/chart" uri="{C3380CC4-5D6E-409C-BE32-E72D297353CC}">
                <c16:uniqueId val="{00000001-EDF3-3E4B-B154-B6EA24DF0CE1}"/>
              </c:ext>
            </c:extLst>
          </c:dPt>
          <c:dPt>
            <c:idx val="1"/>
            <c:bubble3D val="0"/>
            <c:spPr>
              <a:gradFill>
                <a:gsLst>
                  <a:gs pos="0">
                    <a:schemeClr val="accent5">
                      <a:lumMod val="50000"/>
                    </a:schemeClr>
                  </a:gs>
                  <a:gs pos="100000">
                    <a:schemeClr val="accent1">
                      <a:lumMod val="50000"/>
                    </a:schemeClr>
                  </a:gs>
                </a:gsLst>
                <a:path path="circle">
                  <a:fillToRect l="100000" t="100000"/>
                </a:path>
              </a:gradFill>
              <a:ln w="19050">
                <a:noFill/>
              </a:ln>
              <a:effectLst/>
            </c:spPr>
            <c:extLst>
              <c:ext xmlns:c16="http://schemas.microsoft.com/office/drawing/2014/chart" uri="{C3380CC4-5D6E-409C-BE32-E72D297353CC}">
                <c16:uniqueId val="{00000002-EDF3-3E4B-B154-B6EA24DF0CE1}"/>
              </c:ext>
            </c:extLst>
          </c:dPt>
          <c:dPt>
            <c:idx val="2"/>
            <c:bubble3D val="0"/>
            <c:spPr>
              <a:gradFill>
                <a:gsLst>
                  <a:gs pos="0">
                    <a:schemeClr val="accent2">
                      <a:lumMod val="20000"/>
                      <a:lumOff val="80000"/>
                    </a:schemeClr>
                  </a:gs>
                  <a:gs pos="100000">
                    <a:schemeClr val="accent2">
                      <a:lumMod val="50000"/>
                    </a:schemeClr>
                  </a:gs>
                </a:gsLst>
                <a:path path="circle">
                  <a:fillToRect l="100000" t="100000"/>
                </a:path>
              </a:gradFill>
              <a:ln w="19050">
                <a:noFill/>
              </a:ln>
              <a:effectLst/>
            </c:spPr>
            <c:extLst>
              <c:ext xmlns:c16="http://schemas.microsoft.com/office/drawing/2014/chart" uri="{C3380CC4-5D6E-409C-BE32-E72D297353CC}">
                <c16:uniqueId val="{00000003-EDF3-3E4B-B154-B6EA24DF0CE1}"/>
              </c:ext>
            </c:extLst>
          </c:dPt>
          <c:dLbls>
            <c:dLbl>
              <c:idx val="0"/>
              <c:tx>
                <c:rich>
                  <a:bodyPr/>
                  <a:lstStyle/>
                  <a:p>
                    <a:fld id="{C4C74455-6601-4023-9C92-1B39AD0D1A12}" type="CELLRANGE">
                      <a:rPr lang="en-IN"/>
                      <a:pPr/>
                      <a:t>[CELLRANGE]</a:t>
                    </a:fld>
                    <a:r>
                      <a:rPr lang="en-IN" baseline="0"/>
                      <a:t>, </a:t>
                    </a:r>
                    <a:fld id="{C02EC039-3449-461E-8EAD-ABF961E58EA4}"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DF3-3E4B-B154-B6EA24DF0CE1}"/>
                </c:ext>
              </c:extLst>
            </c:dLbl>
            <c:dLbl>
              <c:idx val="1"/>
              <c:tx>
                <c:rich>
                  <a:bodyPr/>
                  <a:lstStyle/>
                  <a:p>
                    <a:fld id="{04E8F01D-B8FE-425C-800D-7E5D5A6F8566}" type="CELLRANGE">
                      <a:rPr lang="en-IN"/>
                      <a:pPr/>
                      <a:t>[CELLRANGE]</a:t>
                    </a:fld>
                    <a:r>
                      <a:rPr lang="en-IN" baseline="0"/>
                      <a:t>, </a:t>
                    </a:r>
                    <a:fld id="{1393A05D-A805-49AC-BD7D-B114C07EF988}"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DF3-3E4B-B154-B6EA24DF0CE1}"/>
                </c:ext>
              </c:extLst>
            </c:dLbl>
            <c:dLbl>
              <c:idx val="2"/>
              <c:tx>
                <c:rich>
                  <a:bodyPr/>
                  <a:lstStyle/>
                  <a:p>
                    <a:fld id="{0381726A-5C81-441C-942E-128B9977A392}" type="CELLRANGE">
                      <a:rPr lang="en-IN"/>
                      <a:pPr/>
                      <a:t>[CELLRANGE]</a:t>
                    </a:fld>
                    <a:r>
                      <a:rPr lang="en-IN" baseline="0"/>
                      <a:t>, </a:t>
                    </a:r>
                    <a:fld id="{E943BC28-1A27-417D-A602-7FD29448E5E2}"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DF3-3E4B-B154-B6EA24DF0CE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0-EDF3-3E4B-B154-B6EA24DF0CE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[HR-Employee-Analysis.xlsx]Attrition By Age-Group!Attrition By Age-Group</c:name>
    <c:fmtId val="2"/>
  </c:pivotSource>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EF16-2A45-881A-73FC42DB7FCA}"/>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79569892473119"/>
          <c:y val="5.7971014492753624E-2"/>
          <c:w val="0.65591397849462363"/>
          <c:h val="0.88405797101449279"/>
        </c:manualLayout>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1-EF88-D948-9500-993CCCAD96D4}"/>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EF88-D948-9500-993CCCAD96D4}"/>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4-EF88-D948-9500-993CCCAD96D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1-2050-A140-8018-58D20CE32266}"/>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3-2050-A140-8018-58D20CE32266}"/>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2050-A140-8018-58D20CE3226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F445-5747-BFE6-B8866D715152}"/>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3-F445-5747-BFE6-B8866D715152}"/>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F445-5747-BFE6-B8866D71515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[HR-Employee-Analysis.xlsx]Education-wise Attrition!Education-wise Attrition</c:name>
    <c:fmtId val="3"/>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67F3-DD48-B89B-5A1DE33123D9}"/>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noFill/>
              </a:ln>
              <a:effectLst/>
            </c:spPr>
            <c:extLst>
              <c:ext xmlns:c16="http://schemas.microsoft.com/office/drawing/2014/chart" uri="{C3380CC4-5D6E-409C-BE32-E72D297353CC}">
                <c16:uniqueId val="{00000001-7B93-CC4A-864B-7C380233025D}"/>
              </c:ext>
            </c:extLst>
          </c:dPt>
          <c:dPt>
            <c:idx val="1"/>
            <c:bubble3D val="0"/>
            <c:spPr>
              <a:gradFill>
                <a:gsLst>
                  <a:gs pos="0">
                    <a:schemeClr val="accent5">
                      <a:lumMod val="50000"/>
                    </a:schemeClr>
                  </a:gs>
                  <a:gs pos="100000">
                    <a:schemeClr val="accent1">
                      <a:lumMod val="50000"/>
                    </a:schemeClr>
                  </a:gs>
                </a:gsLst>
                <a:path path="circle">
                  <a:fillToRect l="100000" t="100000"/>
                </a:path>
              </a:gradFill>
              <a:ln w="19050">
                <a:noFill/>
              </a:ln>
              <a:effectLst/>
            </c:spPr>
            <c:extLst>
              <c:ext xmlns:c16="http://schemas.microsoft.com/office/drawing/2014/chart" uri="{C3380CC4-5D6E-409C-BE32-E72D297353CC}">
                <c16:uniqueId val="{00000003-7B93-CC4A-864B-7C380233025D}"/>
              </c:ext>
            </c:extLst>
          </c:dPt>
          <c:dPt>
            <c:idx val="2"/>
            <c:bubble3D val="0"/>
            <c:spPr>
              <a:gradFill>
                <a:gsLst>
                  <a:gs pos="0">
                    <a:schemeClr val="accent2">
                      <a:lumMod val="20000"/>
                      <a:lumOff val="80000"/>
                    </a:schemeClr>
                  </a:gs>
                  <a:gs pos="100000">
                    <a:schemeClr val="accent2">
                      <a:lumMod val="50000"/>
                    </a:schemeClr>
                  </a:gs>
                </a:gsLst>
                <a:path path="circle">
                  <a:fillToRect l="100000" t="100000"/>
                </a:path>
              </a:gradFill>
              <a:ln w="19050">
                <a:noFill/>
              </a:ln>
              <a:effectLst/>
            </c:spPr>
            <c:extLst>
              <c:ext xmlns:c16="http://schemas.microsoft.com/office/drawing/2014/chart" uri="{C3380CC4-5D6E-409C-BE32-E72D297353CC}">
                <c16:uniqueId val="{00000005-7B93-CC4A-864B-7C380233025D}"/>
              </c:ext>
            </c:extLst>
          </c:dPt>
          <c:dLbls>
            <c:dLbl>
              <c:idx val="0"/>
              <c:tx>
                <c:rich>
                  <a:bodyPr/>
                  <a:lstStyle/>
                  <a:p>
                    <a:fld id="{A3639DDE-2903-4833-9B86-4E52319078DF}" type="CELLRANGE">
                      <a:rPr lang="en-US"/>
                      <a:pPr/>
                      <a:t>[CELLRANGE]</a:t>
                    </a:fld>
                    <a:r>
                      <a:rPr lang="en-US" baseline="0"/>
                      <a:t>, </a:t>
                    </a:r>
                    <a:fld id="{A57E270E-8B91-404C-9513-2B9A2836489A}"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B93-CC4A-864B-7C380233025D}"/>
                </c:ext>
              </c:extLst>
            </c:dLbl>
            <c:dLbl>
              <c:idx val="1"/>
              <c:tx>
                <c:rich>
                  <a:bodyPr/>
                  <a:lstStyle/>
                  <a:p>
                    <a:fld id="{345F41A6-77CD-4809-8E08-B03DDCC3E1E0}" type="CELLRANGE">
                      <a:rPr lang="en-US"/>
                      <a:pPr/>
                      <a:t>[CELLRANGE]</a:t>
                    </a:fld>
                    <a:r>
                      <a:rPr lang="en-US" baseline="0"/>
                      <a:t>, </a:t>
                    </a:r>
                    <a:fld id="{7EA72044-5A2B-4153-99EC-4E55E8B27D4C}"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B93-CC4A-864B-7C380233025D}"/>
                </c:ext>
              </c:extLst>
            </c:dLbl>
            <c:dLbl>
              <c:idx val="2"/>
              <c:tx>
                <c:rich>
                  <a:bodyPr/>
                  <a:lstStyle/>
                  <a:p>
                    <a:fld id="{24EB1C54-4E57-4F4E-9233-1B7E425197E6}" type="CELLRANGE">
                      <a:rPr lang="en-US"/>
                      <a:pPr/>
                      <a:t>[CELLRANGE]</a:t>
                    </a:fld>
                    <a:r>
                      <a:rPr lang="en-US" baseline="0"/>
                      <a:t>, </a:t>
                    </a:r>
                    <a:fld id="{A2E38B25-BDAA-4112-BFCF-2A610769DFEC}"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B93-CC4A-864B-7C380233025D}"/>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6-7B93-CC4A-864B-7C380233025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[HR-Employee-Analysis.xlsx]Attrition By Age-Group!Attrition By Age-Group</c:name>
    <c:fmtId val="4"/>
  </c:pivotSource>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88AC-804D-9BEB-AA268CC33680}"/>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E7725989-8B5B-D341-8478-E6A4692692CA}">
          <cx:tx>
            <cx:txData>
              <cx:f>_xlchart.v1.1</cx:f>
              <cx:v>Attrition</cx:v>
            </cx:txData>
          </cx:tx>
          <cx:dataLabels pos="inEnd">
            <cx:visibility seriesName="0" categoryName="1" value="1"/>
          </cx:dataLabels>
          <cx:dataId val="0"/>
          <cx:layoutPr>
            <cx:parentLabelLayout val="banner"/>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plotArea>
      <cx:plotAreaRegion>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 idx="0">
              <cx:txPr>
                <a:bodyPr spcFirstLastPara="1" vertOverflow="ellipsis" horzOverflow="overflow" wrap="square" lIns="0" tIns="0" rIns="0" bIns="0" anchor="ctr" anchorCtr="1"/>
                <a:lstStyle/>
                <a:p>
                  <a:pPr algn="ctr" rtl="0">
                    <a:defRPr/>
                  </a:pPr>
                  <a:r>
                    <a:rPr lang="en-GB" sz="1800" b="0" i="0" u="none" strike="noStrike" baseline="0">
                      <a:solidFill>
                        <a:schemeClr val="bg1"/>
                      </a:solidFill>
                      <a:latin typeface="Britannic Bold" panose="020B0903060703020204" pitchFamily="34" charset="77"/>
                    </a:rPr>
                    <a:t>327</a:t>
                  </a:r>
                </a:p>
              </cx:txPr>
              <cx:visibility seriesName="0" categoryName="0" value="1"/>
            </cx:dataLabel>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_xlchart.v1.7</cx:f>
      </cx:numDim>
    </cx:data>
  </cx:chartData>
  <cx:chart>
    <cx:plotArea>
      <cx:plotAreaRegion>
        <cx:series layoutId="treemap" uniqueId="{E7725989-8B5B-D341-8478-E6A4692692CA}">
          <cx:tx>
            <cx:txData>
              <cx:f>_xlchart.v1.6</cx:f>
              <cx:v>Attrition</cx:v>
            </cx:txData>
          </cx:tx>
          <cx:dataLabels pos="inEnd">
            <cx:txPr>
              <a:bodyPr spcFirstLastPara="1" vertOverflow="ellipsis" horzOverflow="overflow" wrap="square" lIns="0" tIns="0" rIns="0" bIns="0" anchor="ctr" anchorCtr="1"/>
              <a:lstStyle/>
              <a:p>
                <a:pPr algn="ctr" rtl="0">
                  <a:defRPr sz="1100"/>
                </a:pPr>
                <a:endParaRPr lang="en-GB" sz="1100" b="0" i="0" u="none" strike="noStrike" baseline="0">
                  <a:solidFill>
                    <a:sysClr val="window" lastClr="FFFFFF">
                      <a:lumMod val="95000"/>
                    </a:sysClr>
                  </a:solidFill>
                  <a:latin typeface="Calibri" panose="020F0502020204030204"/>
                </a:endParaRPr>
              </a:p>
            </cx:txPr>
            <cx:visibility seriesName="0" categoryName="1" value="1"/>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plotSurface>
          <cx:spPr>
            <a:noFill/>
            <a:ln>
              <a:noFill/>
            </a:ln>
          </cx:spPr>
        </cx:plotSurface>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microsoft.com/office/2014/relationships/chartEx" Target="../charts/chartEx3.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10</xdr:col>
      <xdr:colOff>12700</xdr:colOff>
      <xdr:row>9</xdr:row>
      <xdr:rowOff>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A9A2C6A-EDF4-40DB-5C7C-47AB15D3B12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382000" y="812800"/>
              <a:ext cx="24892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4</xdr:row>
      <xdr:rowOff>0</xdr:rowOff>
    </xdr:from>
    <xdr:to>
      <xdr:col>11</xdr:col>
      <xdr:colOff>0</xdr:colOff>
      <xdr:row>18</xdr:row>
      <xdr:rowOff>0</xdr:rowOff>
    </xdr:to>
    <xdr:graphicFrame macro="">
      <xdr:nvGraphicFramePr>
        <xdr:cNvPr id="4" name="Chart 3">
          <a:extLst>
            <a:ext uri="{FF2B5EF4-FFF2-40B4-BE49-F238E27FC236}">
              <a16:creationId xmlns:a16="http://schemas.microsoft.com/office/drawing/2014/main" id="{60CFDE18-8487-E601-9A43-0A6F02FCE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812800</xdr:colOff>
      <xdr:row>4</xdr:row>
      <xdr:rowOff>0</xdr:rowOff>
    </xdr:from>
    <xdr:to>
      <xdr:col>14</xdr:col>
      <xdr:colOff>165100</xdr:colOff>
      <xdr:row>9</xdr:row>
      <xdr:rowOff>0</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20CE520C-5607-B959-EB1E-A612645AB35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883900" y="812800"/>
              <a:ext cx="18288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11</xdr:row>
      <xdr:rowOff>0</xdr:rowOff>
    </xdr:from>
    <xdr:to>
      <xdr:col>14</xdr:col>
      <xdr:colOff>177800</xdr:colOff>
      <xdr:row>23</xdr:row>
      <xdr:rowOff>180972</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1D1D92A2-E8ED-76C1-C425-9FE8F2C7320E}"/>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0896600" y="22352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32</xdr:col>
      <xdr:colOff>25400</xdr:colOff>
      <xdr:row>4</xdr:row>
      <xdr:rowOff>38100</xdr:rowOff>
    </xdr:from>
    <xdr:to>
      <xdr:col>39</xdr:col>
      <xdr:colOff>165100</xdr:colOff>
      <xdr:row>9</xdr:row>
      <xdr:rowOff>63500</xdr:rowOff>
    </xdr:to>
    <mc:AlternateContent xmlns:mc="http://schemas.openxmlformats.org/markup-compatibility/2006" xmlns:a14="http://schemas.microsoft.com/office/drawing/2010/main">
      <mc:Choice Requires="a14">
        <xdr:graphicFrame macro="">
          <xdr:nvGraphicFramePr>
            <xdr:cNvPr id="4" name="Gender 2">
              <a:extLst>
                <a:ext uri="{FF2B5EF4-FFF2-40B4-BE49-F238E27FC236}">
                  <a16:creationId xmlns:a16="http://schemas.microsoft.com/office/drawing/2014/main" id="{9A9A5699-DF85-289F-C1B1-1231535D770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0477500" y="850900"/>
              <a:ext cx="18288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25400</xdr:colOff>
      <xdr:row>10</xdr:row>
      <xdr:rowOff>12700</xdr:rowOff>
    </xdr:from>
    <xdr:to>
      <xdr:col>39</xdr:col>
      <xdr:colOff>165100</xdr:colOff>
      <xdr:row>22</xdr:row>
      <xdr:rowOff>193672</xdr:rowOff>
    </xdr:to>
    <mc:AlternateContent xmlns:mc="http://schemas.openxmlformats.org/markup-compatibility/2006" xmlns:a14="http://schemas.microsoft.com/office/drawing/2010/main">
      <mc:Choice Requires="a14">
        <xdr:graphicFrame macro="">
          <xdr:nvGraphicFramePr>
            <xdr:cNvPr id="5" name="Education Field 1">
              <a:extLst>
                <a:ext uri="{FF2B5EF4-FFF2-40B4-BE49-F238E27FC236}">
                  <a16:creationId xmlns:a16="http://schemas.microsoft.com/office/drawing/2014/main" id="{04477A0E-5190-9358-E0EC-6F7B6CFB6A73}"/>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0477500" y="2044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107950</xdr:colOff>
      <xdr:row>15</xdr:row>
      <xdr:rowOff>0</xdr:rowOff>
    </xdr:from>
    <xdr:to>
      <xdr:col>8</xdr:col>
      <xdr:colOff>19050</xdr:colOff>
      <xdr:row>28</xdr:row>
      <xdr:rowOff>101600</xdr:rowOff>
    </xdr:to>
    <xdr:graphicFrame macro="">
      <xdr:nvGraphicFramePr>
        <xdr:cNvPr id="6" name="Chart 5">
          <a:extLst>
            <a:ext uri="{FF2B5EF4-FFF2-40B4-BE49-F238E27FC236}">
              <a16:creationId xmlns:a16="http://schemas.microsoft.com/office/drawing/2014/main" id="{DBD37AE0-E26D-1789-421A-31F540E5F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6350</xdr:colOff>
      <xdr:row>15</xdr:row>
      <xdr:rowOff>0</xdr:rowOff>
    </xdr:from>
    <xdr:to>
      <xdr:col>27</xdr:col>
      <xdr:colOff>234950</xdr:colOff>
      <xdr:row>28</xdr:row>
      <xdr:rowOff>101600</xdr:rowOff>
    </xdr:to>
    <xdr:graphicFrame macro="">
      <xdr:nvGraphicFramePr>
        <xdr:cNvPr id="7" name="Chart 6">
          <a:extLst>
            <a:ext uri="{FF2B5EF4-FFF2-40B4-BE49-F238E27FC236}">
              <a16:creationId xmlns:a16="http://schemas.microsoft.com/office/drawing/2014/main" id="{D74266DD-E784-FEB8-C64D-5669B8703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127000</xdr:colOff>
      <xdr:row>14</xdr:row>
      <xdr:rowOff>12700</xdr:rowOff>
    </xdr:from>
    <xdr:to>
      <xdr:col>11</xdr:col>
      <xdr:colOff>647700</xdr:colOff>
      <xdr:row>33</xdr:row>
      <xdr:rowOff>76200</xdr:rowOff>
    </xdr:to>
    <xdr:graphicFrame macro="">
      <xdr:nvGraphicFramePr>
        <xdr:cNvPr id="3" name="Chart 2">
          <a:extLst>
            <a:ext uri="{FF2B5EF4-FFF2-40B4-BE49-F238E27FC236}">
              <a16:creationId xmlns:a16="http://schemas.microsoft.com/office/drawing/2014/main" id="{E5D87507-1169-3509-F403-A8187F899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406400</xdr:colOff>
      <xdr:row>13</xdr:row>
      <xdr:rowOff>152400</xdr:rowOff>
    </xdr:from>
    <xdr:to>
      <xdr:col>1</xdr:col>
      <xdr:colOff>1009650</xdr:colOff>
      <xdr:row>26</xdr:row>
      <xdr:rowOff>130172</xdr:rowOff>
    </xdr:to>
    <mc:AlternateContent xmlns:mc="http://schemas.openxmlformats.org/markup-compatibility/2006" xmlns:a14="http://schemas.microsoft.com/office/drawing/2010/main">
      <mc:Choice Requires="a14">
        <xdr:graphicFrame macro="">
          <xdr:nvGraphicFramePr>
            <xdr:cNvPr id="4" name="Education">
              <a:extLst>
                <a:ext uri="{FF2B5EF4-FFF2-40B4-BE49-F238E27FC236}">
                  <a16:creationId xmlns:a16="http://schemas.microsoft.com/office/drawing/2014/main" id="{1131376B-EFE3-7C93-743C-E8CC1F384DD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06400" y="27940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812800</xdr:colOff>
      <xdr:row>14</xdr:row>
      <xdr:rowOff>12700</xdr:rowOff>
    </xdr:from>
    <xdr:to>
      <xdr:col>11</xdr:col>
      <xdr:colOff>736600</xdr:colOff>
      <xdr:row>33</xdr:row>
      <xdr:rowOff>152400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2DB2F07-DDE0-F43A-6171-0C844D178C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74925" y="2813050"/>
              <a:ext cx="10182225" cy="39401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431800</xdr:colOff>
      <xdr:row>14</xdr:row>
      <xdr:rowOff>12700</xdr:rowOff>
    </xdr:from>
    <xdr:to>
      <xdr:col>10</xdr:col>
      <xdr:colOff>50800</xdr:colOff>
      <xdr:row>27</xdr:row>
      <xdr:rowOff>114300</xdr:rowOff>
    </xdr:to>
    <xdr:graphicFrame macro="">
      <xdr:nvGraphicFramePr>
        <xdr:cNvPr id="3" name="Chart 2">
          <a:extLst>
            <a:ext uri="{FF2B5EF4-FFF2-40B4-BE49-F238E27FC236}">
              <a16:creationId xmlns:a16="http://schemas.microsoft.com/office/drawing/2014/main" id="{F2A85DDE-26D8-0B60-7AE5-FFB16916F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635000</xdr:colOff>
      <xdr:row>14</xdr:row>
      <xdr:rowOff>12700</xdr:rowOff>
    </xdr:from>
    <xdr:to>
      <xdr:col>9</xdr:col>
      <xdr:colOff>254000</xdr:colOff>
      <xdr:row>27</xdr:row>
      <xdr:rowOff>114300</xdr:rowOff>
    </xdr:to>
    <xdr:graphicFrame macro="">
      <xdr:nvGraphicFramePr>
        <xdr:cNvPr id="4" name="Chart 3">
          <a:extLst>
            <a:ext uri="{FF2B5EF4-FFF2-40B4-BE49-F238E27FC236}">
              <a16:creationId xmlns:a16="http://schemas.microsoft.com/office/drawing/2014/main" id="{3DCA0039-625E-8F61-FC97-76BC42947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476250</xdr:colOff>
      <xdr:row>14</xdr:row>
      <xdr:rowOff>12700</xdr:rowOff>
    </xdr:from>
    <xdr:to>
      <xdr:col>12</xdr:col>
      <xdr:colOff>95250</xdr:colOff>
      <xdr:row>27</xdr:row>
      <xdr:rowOff>114300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B8D9E0AE-F194-E8FC-24D5-55B5DFAF0B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753225" y="2813050"/>
              <a:ext cx="4648200" cy="27019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774700</xdr:colOff>
      <xdr:row>11</xdr:row>
      <xdr:rowOff>114300</xdr:rowOff>
    </xdr:from>
    <xdr:to>
      <xdr:col>2</xdr:col>
      <xdr:colOff>717550</xdr:colOff>
      <xdr:row>24</xdr:row>
      <xdr:rowOff>92072</xdr:rowOff>
    </xdr:to>
    <mc:AlternateContent xmlns:mc="http://schemas.openxmlformats.org/markup-compatibility/2006" xmlns:a14="http://schemas.microsoft.com/office/drawing/2010/main">
      <mc:Choice Requires="a14">
        <xdr:graphicFrame macro="">
          <xdr:nvGraphicFramePr>
            <xdr:cNvPr id="4" name="Marital Status">
              <a:extLst>
                <a:ext uri="{FF2B5EF4-FFF2-40B4-BE49-F238E27FC236}">
                  <a16:creationId xmlns:a16="http://schemas.microsoft.com/office/drawing/2014/main" id="{8E0CDA3F-21BA-676B-E1C7-F2A46E9BE78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765300" y="2349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241300</xdr:colOff>
      <xdr:row>22</xdr:row>
      <xdr:rowOff>165100</xdr:rowOff>
    </xdr:from>
    <xdr:to>
      <xdr:col>5</xdr:col>
      <xdr:colOff>266700</xdr:colOff>
      <xdr:row>35</xdr:row>
      <xdr:rowOff>142872</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88DF47A2-C40B-C997-DF61-278D0AA5C89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848100" y="4635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723900</xdr:colOff>
      <xdr:row>25</xdr:row>
      <xdr:rowOff>38100</xdr:rowOff>
    </xdr:from>
    <xdr:to>
      <xdr:col>5</xdr:col>
      <xdr:colOff>749300</xdr:colOff>
      <xdr:row>38</xdr:row>
      <xdr:rowOff>15872</xdr:rowOff>
    </xdr:to>
    <mc:AlternateContent xmlns:mc="http://schemas.openxmlformats.org/markup-compatibility/2006" xmlns:a14="http://schemas.microsoft.com/office/drawing/2010/main">
      <mc:Choice Requires="a14">
        <xdr:graphicFrame macro="">
          <xdr:nvGraphicFramePr>
            <xdr:cNvPr id="6" name="Education Field 2">
              <a:extLst>
                <a:ext uri="{FF2B5EF4-FFF2-40B4-BE49-F238E27FC236}">
                  <a16:creationId xmlns:a16="http://schemas.microsoft.com/office/drawing/2014/main" id="{43AA4712-6795-69B1-51DB-08C2F0BE5039}"/>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4330700" y="51181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495300</xdr:colOff>
      <xdr:row>0</xdr:row>
      <xdr:rowOff>152400</xdr:rowOff>
    </xdr:from>
    <xdr:to>
      <xdr:col>21</xdr:col>
      <xdr:colOff>279400</xdr:colOff>
      <xdr:row>40</xdr:row>
      <xdr:rowOff>196641</xdr:rowOff>
    </xdr:to>
    <xdr:grpSp>
      <xdr:nvGrpSpPr>
        <xdr:cNvPr id="27" name="Group 26">
          <a:extLst>
            <a:ext uri="{FF2B5EF4-FFF2-40B4-BE49-F238E27FC236}">
              <a16:creationId xmlns:a16="http://schemas.microsoft.com/office/drawing/2014/main" id="{97F8182C-464A-054F-AA8A-915ACBF79342}"/>
            </a:ext>
          </a:extLst>
        </xdr:cNvPr>
        <xdr:cNvGrpSpPr/>
      </xdr:nvGrpSpPr>
      <xdr:grpSpPr>
        <a:xfrm>
          <a:off x="495300" y="152400"/>
          <a:ext cx="17386300" cy="8045241"/>
          <a:chOff x="1752600" y="190500"/>
          <a:chExt cx="13468350" cy="7776000"/>
        </a:xfrm>
      </xdr:grpSpPr>
      <xdr:sp macro="" textlink="">
        <xdr:nvSpPr>
          <xdr:cNvPr id="28" name="Rectangle: Rounded Corners 2">
            <a:extLst>
              <a:ext uri="{FF2B5EF4-FFF2-40B4-BE49-F238E27FC236}">
                <a16:creationId xmlns:a16="http://schemas.microsoft.com/office/drawing/2014/main" id="{BE4260C2-6D88-6231-59C3-8874A43D3550}"/>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29" name="Rectangle: Rounded Corners 3">
            <a:extLst>
              <a:ext uri="{FF2B5EF4-FFF2-40B4-BE49-F238E27FC236}">
                <a16:creationId xmlns:a16="http://schemas.microsoft.com/office/drawing/2014/main" id="{CB790882-70A8-C63B-5A71-5521AA81E7BC}"/>
              </a:ext>
            </a:extLst>
          </xdr:cNvPr>
          <xdr:cNvSpPr/>
        </xdr:nvSpPr>
        <xdr:spPr>
          <a:xfrm>
            <a:off x="1852449" y="270899"/>
            <a:ext cx="769160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30" name="Rectangle: Rounded Corners 4">
            <a:extLst>
              <a:ext uri="{FF2B5EF4-FFF2-40B4-BE49-F238E27FC236}">
                <a16:creationId xmlns:a16="http://schemas.microsoft.com/office/drawing/2014/main" id="{F47F58A9-D115-F31D-17F7-701B1046662B}"/>
              </a:ext>
            </a:extLst>
          </xdr:cNvPr>
          <xdr:cNvSpPr/>
        </xdr:nvSpPr>
        <xdr:spPr>
          <a:xfrm>
            <a:off x="9658349" y="270899"/>
            <a:ext cx="546735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1" name="Rectangle: Rounded Corners 5">
            <a:extLst>
              <a:ext uri="{FF2B5EF4-FFF2-40B4-BE49-F238E27FC236}">
                <a16:creationId xmlns:a16="http://schemas.microsoft.com/office/drawing/2014/main" id="{01A44874-D79D-3F11-0991-FAD004A603E6}"/>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32" name="Group 31">
            <a:extLst>
              <a:ext uri="{FF2B5EF4-FFF2-40B4-BE49-F238E27FC236}">
                <a16:creationId xmlns:a16="http://schemas.microsoft.com/office/drawing/2014/main" id="{84FB7DD8-A17A-12CA-569F-B34C004AB397}"/>
              </a:ext>
            </a:extLst>
          </xdr:cNvPr>
          <xdr:cNvGrpSpPr/>
        </xdr:nvGrpSpPr>
        <xdr:grpSpPr>
          <a:xfrm>
            <a:off x="1846116" y="1215714"/>
            <a:ext cx="13289109" cy="998848"/>
            <a:chOff x="1846116" y="1215714"/>
            <a:chExt cx="13403409" cy="998848"/>
          </a:xfrm>
        </xdr:grpSpPr>
        <xdr:sp macro="" textlink="">
          <xdr:nvSpPr>
            <xdr:cNvPr id="47" name="Rectangle: Rounded Corners 21">
              <a:extLst>
                <a:ext uri="{FF2B5EF4-FFF2-40B4-BE49-F238E27FC236}">
                  <a16:creationId xmlns:a16="http://schemas.microsoft.com/office/drawing/2014/main" id="{A64F1325-907F-7E8E-E7E6-01CE8D857E82}"/>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8" name="Rectangle: Rounded Corners 22">
              <a:extLst>
                <a:ext uri="{FF2B5EF4-FFF2-40B4-BE49-F238E27FC236}">
                  <a16:creationId xmlns:a16="http://schemas.microsoft.com/office/drawing/2014/main" id="{09F1546F-E489-E521-AEF8-6A9B9A385215}"/>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9" name="Rectangle: Rounded Corners 23">
              <a:extLst>
                <a:ext uri="{FF2B5EF4-FFF2-40B4-BE49-F238E27FC236}">
                  <a16:creationId xmlns:a16="http://schemas.microsoft.com/office/drawing/2014/main" id="{DD04B7FE-3D25-C855-06B9-61B659F8A8BD}"/>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0" name="Rectangle: Rounded Corners 24">
              <a:extLst>
                <a:ext uri="{FF2B5EF4-FFF2-40B4-BE49-F238E27FC236}">
                  <a16:creationId xmlns:a16="http://schemas.microsoft.com/office/drawing/2014/main" id="{0AB3B086-FF52-183E-4B5E-56725F8E4E31}"/>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1" name="Rectangle: Rounded Corners 25">
              <a:extLst>
                <a:ext uri="{FF2B5EF4-FFF2-40B4-BE49-F238E27FC236}">
                  <a16:creationId xmlns:a16="http://schemas.microsoft.com/office/drawing/2014/main" id="{B519F743-14E5-B330-08E1-25EC727CD7F1}"/>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33" name="Group 32">
            <a:extLst>
              <a:ext uri="{FF2B5EF4-FFF2-40B4-BE49-F238E27FC236}">
                <a16:creationId xmlns:a16="http://schemas.microsoft.com/office/drawing/2014/main" id="{A93C960D-7693-C4E2-68E0-1364FC5BA9CD}"/>
              </a:ext>
            </a:extLst>
          </xdr:cNvPr>
          <xdr:cNvGrpSpPr/>
        </xdr:nvGrpSpPr>
        <xdr:grpSpPr>
          <a:xfrm>
            <a:off x="1847145" y="5162550"/>
            <a:ext cx="3867930" cy="2709509"/>
            <a:chOff x="1847145" y="2304895"/>
            <a:chExt cx="3867930" cy="2772878"/>
          </a:xfrm>
        </xdr:grpSpPr>
        <xdr:sp macro="" textlink="">
          <xdr:nvSpPr>
            <xdr:cNvPr id="45" name="Rectangle: Rounded Corners 19">
              <a:extLst>
                <a:ext uri="{FF2B5EF4-FFF2-40B4-BE49-F238E27FC236}">
                  <a16:creationId xmlns:a16="http://schemas.microsoft.com/office/drawing/2014/main" id="{8E3F6CB9-C804-4785-F991-29D42B3EE724}"/>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6" name="Straight Connector 45">
              <a:extLst>
                <a:ext uri="{FF2B5EF4-FFF2-40B4-BE49-F238E27FC236}">
                  <a16:creationId xmlns:a16="http://schemas.microsoft.com/office/drawing/2014/main" id="{A4E62C50-DC5B-6F2B-409F-8925EC577C2D}"/>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34" name="Straight Connector 33">
            <a:extLst>
              <a:ext uri="{FF2B5EF4-FFF2-40B4-BE49-F238E27FC236}">
                <a16:creationId xmlns:a16="http://schemas.microsoft.com/office/drawing/2014/main" id="{AD290DBF-EDEE-2593-99F9-E0D64052F615}"/>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5" name="Rectangle: Rounded Corners 9">
            <a:extLst>
              <a:ext uri="{FF2B5EF4-FFF2-40B4-BE49-F238E27FC236}">
                <a16:creationId xmlns:a16="http://schemas.microsoft.com/office/drawing/2014/main" id="{0137F366-7E7D-7A63-8C3A-8084940584B6}"/>
              </a:ext>
            </a:extLst>
          </xdr:cNvPr>
          <xdr:cNvSpPr/>
        </xdr:nvSpPr>
        <xdr:spPr>
          <a:xfrm>
            <a:off x="10744199"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6" name="Straight Connector 35">
            <a:extLst>
              <a:ext uri="{FF2B5EF4-FFF2-40B4-BE49-F238E27FC236}">
                <a16:creationId xmlns:a16="http://schemas.microsoft.com/office/drawing/2014/main" id="{C55935FD-4AF0-E28B-D053-F8240F82F2CA}"/>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7" name="Rectangle: Rounded Corners 11">
            <a:extLst>
              <a:ext uri="{FF2B5EF4-FFF2-40B4-BE49-F238E27FC236}">
                <a16:creationId xmlns:a16="http://schemas.microsoft.com/office/drawing/2014/main" id="{D6CA341B-2585-43BA-9BAF-3D3E7DE1EF2A}"/>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8" name="Straight Connector 37">
            <a:extLst>
              <a:ext uri="{FF2B5EF4-FFF2-40B4-BE49-F238E27FC236}">
                <a16:creationId xmlns:a16="http://schemas.microsoft.com/office/drawing/2014/main" id="{437F1EBF-E3BC-262E-BEBA-8D6B08710223}"/>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9" name="Rectangle: Rounded Corners 13">
            <a:extLst>
              <a:ext uri="{FF2B5EF4-FFF2-40B4-BE49-F238E27FC236}">
                <a16:creationId xmlns:a16="http://schemas.microsoft.com/office/drawing/2014/main" id="{37B18D15-F764-F7A8-BE02-71C98D63BA54}"/>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0" name="Straight Connector 39">
            <a:extLst>
              <a:ext uri="{FF2B5EF4-FFF2-40B4-BE49-F238E27FC236}">
                <a16:creationId xmlns:a16="http://schemas.microsoft.com/office/drawing/2014/main" id="{D0EAE0A9-1F66-5974-FD4C-79F4F78949E2}"/>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1" name="Rectangle: Rounded Corners 15">
            <a:extLst>
              <a:ext uri="{FF2B5EF4-FFF2-40B4-BE49-F238E27FC236}">
                <a16:creationId xmlns:a16="http://schemas.microsoft.com/office/drawing/2014/main" id="{392AE5B9-9160-C2AB-49B8-173EB82E71AB}"/>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2" name="Straight Connector 41">
            <a:extLst>
              <a:ext uri="{FF2B5EF4-FFF2-40B4-BE49-F238E27FC236}">
                <a16:creationId xmlns:a16="http://schemas.microsoft.com/office/drawing/2014/main" id="{773F5451-6B22-F1BF-4FC5-0B1F559F810E}"/>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3" name="Rectangle: Rounded Corners 17">
            <a:extLst>
              <a:ext uri="{FF2B5EF4-FFF2-40B4-BE49-F238E27FC236}">
                <a16:creationId xmlns:a16="http://schemas.microsoft.com/office/drawing/2014/main" id="{611AABEB-2BDA-F564-FCCB-141648D2B7B6}"/>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4" name="Straight Connector 43">
            <a:extLst>
              <a:ext uri="{FF2B5EF4-FFF2-40B4-BE49-F238E27FC236}">
                <a16:creationId xmlns:a16="http://schemas.microsoft.com/office/drawing/2014/main" id="{48A75024-E570-6BBF-E549-C74E688F4C9F}"/>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622300</xdr:colOff>
      <xdr:row>6</xdr:row>
      <xdr:rowOff>25400</xdr:rowOff>
    </xdr:from>
    <xdr:to>
      <xdr:col>4</xdr:col>
      <xdr:colOff>584200</xdr:colOff>
      <xdr:row>8</xdr:row>
      <xdr:rowOff>0</xdr:rowOff>
    </xdr:to>
    <xdr:sp macro="" textlink="">
      <xdr:nvSpPr>
        <xdr:cNvPr id="52" name="TextBox 51">
          <a:extLst>
            <a:ext uri="{FF2B5EF4-FFF2-40B4-BE49-F238E27FC236}">
              <a16:creationId xmlns:a16="http://schemas.microsoft.com/office/drawing/2014/main" id="{A1F24C1C-53F4-F840-E989-B095DD610EA0}"/>
            </a:ext>
          </a:extLst>
        </xdr:cNvPr>
        <xdr:cNvSpPr txBox="1"/>
      </xdr:nvSpPr>
      <xdr:spPr>
        <a:xfrm>
          <a:off x="622300" y="12446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TOTAL EMPLOYEES</a:t>
          </a:r>
        </a:p>
      </xdr:txBody>
    </xdr:sp>
    <xdr:clientData/>
  </xdr:twoCellAnchor>
  <xdr:twoCellAnchor>
    <xdr:from>
      <xdr:col>0</xdr:col>
      <xdr:colOff>622300</xdr:colOff>
      <xdr:row>8</xdr:row>
      <xdr:rowOff>0</xdr:rowOff>
    </xdr:from>
    <xdr:to>
      <xdr:col>4</xdr:col>
      <xdr:colOff>584200</xdr:colOff>
      <xdr:row>11</xdr:row>
      <xdr:rowOff>50800</xdr:rowOff>
    </xdr:to>
    <xdr:sp macro="" textlink="KPI!A7">
      <xdr:nvSpPr>
        <xdr:cNvPr id="53" name="TextBox 52">
          <a:extLst>
            <a:ext uri="{FF2B5EF4-FFF2-40B4-BE49-F238E27FC236}">
              <a16:creationId xmlns:a16="http://schemas.microsoft.com/office/drawing/2014/main" id="{40447C8A-321E-27A1-1E1A-D9E0E692421A}"/>
            </a:ext>
          </a:extLst>
        </xdr:cNvPr>
        <xdr:cNvSpPr txBox="1"/>
      </xdr:nvSpPr>
      <xdr:spPr>
        <a:xfrm>
          <a:off x="622300" y="16256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B14F1B-FEC9-AB4B-842E-8019A46FAA36}" type="TxLink">
            <a:rPr lang="en-US" sz="4000" b="0" i="0" u="none" strike="noStrike">
              <a:solidFill>
                <a:schemeClr val="accent5">
                  <a:lumMod val="75000"/>
                </a:schemeClr>
              </a:solidFill>
              <a:latin typeface="Britannic Bold" panose="020B0903060703020204" pitchFamily="34" charset="77"/>
              <a:cs typeface="Calibri"/>
            </a:rPr>
            <a:pPr algn="ctr"/>
            <a:t>1470</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4</xdr:col>
      <xdr:colOff>723900</xdr:colOff>
      <xdr:row>6</xdr:row>
      <xdr:rowOff>12700</xdr:rowOff>
    </xdr:from>
    <xdr:to>
      <xdr:col>8</xdr:col>
      <xdr:colOff>685800</xdr:colOff>
      <xdr:row>7</xdr:row>
      <xdr:rowOff>190500</xdr:rowOff>
    </xdr:to>
    <xdr:sp macro="" textlink="">
      <xdr:nvSpPr>
        <xdr:cNvPr id="129" name="TextBox 128">
          <a:extLst>
            <a:ext uri="{FF2B5EF4-FFF2-40B4-BE49-F238E27FC236}">
              <a16:creationId xmlns:a16="http://schemas.microsoft.com/office/drawing/2014/main" id="{D24B97FA-BDE4-6D49-8944-B19D8B50932F}"/>
            </a:ext>
          </a:extLst>
        </xdr:cNvPr>
        <xdr:cNvSpPr txBox="1"/>
      </xdr:nvSpPr>
      <xdr:spPr>
        <a:xfrm>
          <a:off x="40259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a:t>
          </a:r>
        </a:p>
      </xdr:txBody>
    </xdr:sp>
    <xdr:clientData/>
  </xdr:twoCellAnchor>
  <xdr:twoCellAnchor>
    <xdr:from>
      <xdr:col>4</xdr:col>
      <xdr:colOff>723900</xdr:colOff>
      <xdr:row>7</xdr:row>
      <xdr:rowOff>190500</xdr:rowOff>
    </xdr:from>
    <xdr:to>
      <xdr:col>8</xdr:col>
      <xdr:colOff>685800</xdr:colOff>
      <xdr:row>11</xdr:row>
      <xdr:rowOff>38100</xdr:rowOff>
    </xdr:to>
    <xdr:sp macro="" textlink="KPI!B7">
      <xdr:nvSpPr>
        <xdr:cNvPr id="130" name="TextBox 129">
          <a:extLst>
            <a:ext uri="{FF2B5EF4-FFF2-40B4-BE49-F238E27FC236}">
              <a16:creationId xmlns:a16="http://schemas.microsoft.com/office/drawing/2014/main" id="{4DA7B51C-0F85-DC41-B914-5385C0E5DD5C}"/>
            </a:ext>
          </a:extLst>
        </xdr:cNvPr>
        <xdr:cNvSpPr txBox="1"/>
      </xdr:nvSpPr>
      <xdr:spPr>
        <a:xfrm>
          <a:off x="40259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D19279-75F1-1B41-8E77-5EDCB863159A}" type="TxLink">
            <a:rPr lang="en-US" sz="4000" b="0" i="0" u="none" strike="noStrike">
              <a:solidFill>
                <a:schemeClr val="accent5">
                  <a:lumMod val="75000"/>
                </a:schemeClr>
              </a:solidFill>
              <a:latin typeface="Britannic Bold" panose="020B0903060703020204" pitchFamily="34" charset="77"/>
              <a:cs typeface="Calibri"/>
            </a:rPr>
            <a:pPr algn="ctr"/>
            <a:t>237</a:t>
          </a:fld>
          <a:endParaRPr lang="en-GB" sz="9600">
            <a:solidFill>
              <a:schemeClr val="accent5">
                <a:lumMod val="75000"/>
              </a:schemeClr>
            </a:solidFill>
            <a:latin typeface="Britannic Bold" panose="020B0903060703020204" pitchFamily="34" charset="77"/>
          </a:endParaRPr>
        </a:p>
      </xdr:txBody>
    </xdr:sp>
    <xdr:clientData/>
  </xdr:twoCellAnchor>
  <xdr:twoCellAnchor>
    <xdr:from>
      <xdr:col>9</xdr:col>
      <xdr:colOff>0</xdr:colOff>
      <xdr:row>6</xdr:row>
      <xdr:rowOff>12700</xdr:rowOff>
    </xdr:from>
    <xdr:to>
      <xdr:col>12</xdr:col>
      <xdr:colOff>787400</xdr:colOff>
      <xdr:row>7</xdr:row>
      <xdr:rowOff>190500</xdr:rowOff>
    </xdr:to>
    <xdr:sp macro="" textlink="">
      <xdr:nvSpPr>
        <xdr:cNvPr id="141" name="TextBox 140">
          <a:extLst>
            <a:ext uri="{FF2B5EF4-FFF2-40B4-BE49-F238E27FC236}">
              <a16:creationId xmlns:a16="http://schemas.microsoft.com/office/drawing/2014/main" id="{43E93491-18DD-244C-BC3A-8AEE520CC10D}"/>
            </a:ext>
          </a:extLst>
        </xdr:cNvPr>
        <xdr:cNvSpPr txBox="1"/>
      </xdr:nvSpPr>
      <xdr:spPr>
        <a:xfrm>
          <a:off x="74295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ACTIVE EMPLOYEE</a:t>
          </a:r>
        </a:p>
      </xdr:txBody>
    </xdr:sp>
    <xdr:clientData/>
  </xdr:twoCellAnchor>
  <xdr:twoCellAnchor>
    <xdr:from>
      <xdr:col>9</xdr:col>
      <xdr:colOff>0</xdr:colOff>
      <xdr:row>7</xdr:row>
      <xdr:rowOff>190500</xdr:rowOff>
    </xdr:from>
    <xdr:to>
      <xdr:col>12</xdr:col>
      <xdr:colOff>787400</xdr:colOff>
      <xdr:row>11</xdr:row>
      <xdr:rowOff>38100</xdr:rowOff>
    </xdr:to>
    <xdr:sp macro="" textlink="KPI!D7">
      <xdr:nvSpPr>
        <xdr:cNvPr id="142" name="TextBox 141">
          <a:extLst>
            <a:ext uri="{FF2B5EF4-FFF2-40B4-BE49-F238E27FC236}">
              <a16:creationId xmlns:a16="http://schemas.microsoft.com/office/drawing/2014/main" id="{3A25B5B7-1668-C448-B096-C2ED7D3585B9}"/>
            </a:ext>
          </a:extLst>
        </xdr:cNvPr>
        <xdr:cNvSpPr txBox="1"/>
      </xdr:nvSpPr>
      <xdr:spPr>
        <a:xfrm>
          <a:off x="74295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4B69861-B65D-4846-87F8-BAB7629327BC}" type="TxLink">
            <a:rPr lang="en-US" sz="4000" b="0" i="0" u="none" strike="noStrike">
              <a:solidFill>
                <a:schemeClr val="accent5">
                  <a:lumMod val="75000"/>
                </a:schemeClr>
              </a:solidFill>
              <a:latin typeface="Britannic Bold" panose="020B0903060703020204" pitchFamily="34" charset="77"/>
              <a:cs typeface="Calibri"/>
            </a:rPr>
            <a:pPr algn="ctr"/>
            <a:t>1233</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13</xdr:col>
      <xdr:colOff>88900</xdr:colOff>
      <xdr:row>6</xdr:row>
      <xdr:rowOff>12700</xdr:rowOff>
    </xdr:from>
    <xdr:to>
      <xdr:col>17</xdr:col>
      <xdr:colOff>63500</xdr:colOff>
      <xdr:row>7</xdr:row>
      <xdr:rowOff>190500</xdr:rowOff>
    </xdr:to>
    <xdr:sp macro="" textlink="">
      <xdr:nvSpPr>
        <xdr:cNvPr id="143" name="TextBox 142">
          <a:extLst>
            <a:ext uri="{FF2B5EF4-FFF2-40B4-BE49-F238E27FC236}">
              <a16:creationId xmlns:a16="http://schemas.microsoft.com/office/drawing/2014/main" id="{C63B4764-17B5-3C4A-9A7D-B8D8A2796149}"/>
            </a:ext>
          </a:extLst>
        </xdr:cNvPr>
        <xdr:cNvSpPr txBox="1"/>
      </xdr:nvSpPr>
      <xdr:spPr>
        <a:xfrm>
          <a:off x="10820400" y="1231900"/>
          <a:ext cx="3276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 RATE</a:t>
          </a:r>
        </a:p>
      </xdr:txBody>
    </xdr:sp>
    <xdr:clientData/>
  </xdr:twoCellAnchor>
  <xdr:twoCellAnchor>
    <xdr:from>
      <xdr:col>13</xdr:col>
      <xdr:colOff>88900</xdr:colOff>
      <xdr:row>7</xdr:row>
      <xdr:rowOff>190500</xdr:rowOff>
    </xdr:from>
    <xdr:to>
      <xdr:col>17</xdr:col>
      <xdr:colOff>63500</xdr:colOff>
      <xdr:row>11</xdr:row>
      <xdr:rowOff>38100</xdr:rowOff>
    </xdr:to>
    <xdr:sp macro="" textlink="KPI!E7">
      <xdr:nvSpPr>
        <xdr:cNvPr id="144" name="TextBox 143">
          <a:extLst>
            <a:ext uri="{FF2B5EF4-FFF2-40B4-BE49-F238E27FC236}">
              <a16:creationId xmlns:a16="http://schemas.microsoft.com/office/drawing/2014/main" id="{164EBFA4-F8AB-BB43-8949-F9BA511EBA0D}"/>
            </a:ext>
          </a:extLst>
        </xdr:cNvPr>
        <xdr:cNvSpPr txBox="1"/>
      </xdr:nvSpPr>
      <xdr:spPr>
        <a:xfrm>
          <a:off x="10820400" y="1612900"/>
          <a:ext cx="32766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8127DB-D749-D744-BE30-6C746D5939E4}" type="TxLink">
            <a:rPr lang="en-US" sz="4000" b="0" i="0" u="none" strike="noStrike">
              <a:solidFill>
                <a:schemeClr val="accent5">
                  <a:lumMod val="75000"/>
                </a:schemeClr>
              </a:solidFill>
              <a:latin typeface="Britannic Bold" panose="020B0903060703020204" pitchFamily="34" charset="77"/>
              <a:cs typeface="Calibri"/>
            </a:rPr>
            <a:pPr algn="ctr"/>
            <a:t>16.12%</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17</xdr:col>
      <xdr:colOff>203200</xdr:colOff>
      <xdr:row>6</xdr:row>
      <xdr:rowOff>12700</xdr:rowOff>
    </xdr:from>
    <xdr:to>
      <xdr:col>21</xdr:col>
      <xdr:colOff>165100</xdr:colOff>
      <xdr:row>7</xdr:row>
      <xdr:rowOff>190500</xdr:rowOff>
    </xdr:to>
    <xdr:sp macro="" textlink="">
      <xdr:nvSpPr>
        <xdr:cNvPr id="145" name="TextBox 144">
          <a:extLst>
            <a:ext uri="{FF2B5EF4-FFF2-40B4-BE49-F238E27FC236}">
              <a16:creationId xmlns:a16="http://schemas.microsoft.com/office/drawing/2014/main" id="{3AA1A226-FBE3-774F-AD9F-437002AFAF2E}"/>
            </a:ext>
          </a:extLst>
        </xdr:cNvPr>
        <xdr:cNvSpPr txBox="1"/>
      </xdr:nvSpPr>
      <xdr:spPr>
        <a:xfrm>
          <a:off x="142367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AVERAGE</a:t>
          </a:r>
          <a:r>
            <a:rPr lang="en-GB" sz="2000" baseline="0">
              <a:latin typeface="Britannic Bold" panose="020B0903060703020204" pitchFamily="34" charset="77"/>
              <a:cs typeface="Baloo Bhaijaan" panose="03080902040302020200" pitchFamily="66" charset="-78"/>
            </a:rPr>
            <a:t> AGE</a:t>
          </a:r>
          <a:endParaRPr lang="en-GB" sz="2000">
            <a:latin typeface="Britannic Bold" panose="020B0903060703020204" pitchFamily="34" charset="77"/>
            <a:cs typeface="Baloo Bhaijaan" panose="03080902040302020200" pitchFamily="66" charset="-78"/>
          </a:endParaRPr>
        </a:p>
      </xdr:txBody>
    </xdr:sp>
    <xdr:clientData/>
  </xdr:twoCellAnchor>
  <xdr:twoCellAnchor>
    <xdr:from>
      <xdr:col>17</xdr:col>
      <xdr:colOff>203200</xdr:colOff>
      <xdr:row>7</xdr:row>
      <xdr:rowOff>190500</xdr:rowOff>
    </xdr:from>
    <xdr:to>
      <xdr:col>21</xdr:col>
      <xdr:colOff>165100</xdr:colOff>
      <xdr:row>11</xdr:row>
      <xdr:rowOff>38100</xdr:rowOff>
    </xdr:to>
    <xdr:sp macro="" textlink="KPI!C7">
      <xdr:nvSpPr>
        <xdr:cNvPr id="146" name="TextBox 145">
          <a:extLst>
            <a:ext uri="{FF2B5EF4-FFF2-40B4-BE49-F238E27FC236}">
              <a16:creationId xmlns:a16="http://schemas.microsoft.com/office/drawing/2014/main" id="{3915BA3D-EBD7-334B-9F38-A0D0E9BC4A68}"/>
            </a:ext>
          </a:extLst>
        </xdr:cNvPr>
        <xdr:cNvSpPr txBox="1"/>
      </xdr:nvSpPr>
      <xdr:spPr>
        <a:xfrm>
          <a:off x="142367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91F395-2B95-C04E-9639-F366CD270512}" type="TxLink">
            <a:rPr lang="en-US" sz="4000" b="0" i="0" u="none" strike="noStrike">
              <a:solidFill>
                <a:schemeClr val="accent5">
                  <a:lumMod val="75000"/>
                </a:schemeClr>
              </a:solidFill>
              <a:latin typeface="Britannic Bold" panose="020B0903060703020204" pitchFamily="34" charset="77"/>
              <a:cs typeface="Calibri"/>
            </a:rPr>
            <a:pPr algn="ctr"/>
            <a:t>36.9</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0</xdr:col>
      <xdr:colOff>609600</xdr:colOff>
      <xdr:row>1</xdr:row>
      <xdr:rowOff>25400</xdr:rowOff>
    </xdr:from>
    <xdr:to>
      <xdr:col>12</xdr:col>
      <xdr:colOff>495300</xdr:colOff>
      <xdr:row>5</xdr:row>
      <xdr:rowOff>101600</xdr:rowOff>
    </xdr:to>
    <xdr:sp macro="" textlink="">
      <xdr:nvSpPr>
        <xdr:cNvPr id="148" name="TextBox 147">
          <a:extLst>
            <a:ext uri="{FF2B5EF4-FFF2-40B4-BE49-F238E27FC236}">
              <a16:creationId xmlns:a16="http://schemas.microsoft.com/office/drawing/2014/main" id="{73A1B037-9E5C-7603-4555-0A0B31EE8BD1}"/>
            </a:ext>
          </a:extLst>
        </xdr:cNvPr>
        <xdr:cNvSpPr txBox="1"/>
      </xdr:nvSpPr>
      <xdr:spPr>
        <a:xfrm>
          <a:off x="609600" y="228600"/>
          <a:ext cx="9791700" cy="889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6000">
              <a:latin typeface="Britannic Bold" panose="020B0903060703020204" pitchFamily="34" charset="77"/>
            </a:rPr>
            <a:t>HR ANALYTICS DASHBOARD</a:t>
          </a:r>
        </a:p>
      </xdr:txBody>
    </xdr:sp>
    <xdr:clientData/>
  </xdr:twoCellAnchor>
  <xdr:twoCellAnchor>
    <xdr:from>
      <xdr:col>12</xdr:col>
      <xdr:colOff>635000</xdr:colOff>
      <xdr:row>1</xdr:row>
      <xdr:rowOff>25400</xdr:rowOff>
    </xdr:from>
    <xdr:to>
      <xdr:col>19</xdr:col>
      <xdr:colOff>533400</xdr:colOff>
      <xdr:row>5</xdr:row>
      <xdr:rowOff>88900</xdr:rowOff>
    </xdr:to>
    <xdr:sp macro="" textlink="">
      <xdr:nvSpPr>
        <xdr:cNvPr id="149" name="TextBox 148">
          <a:extLst>
            <a:ext uri="{FF2B5EF4-FFF2-40B4-BE49-F238E27FC236}">
              <a16:creationId xmlns:a16="http://schemas.microsoft.com/office/drawing/2014/main" id="{8B5624AD-7605-C73B-0B93-FE418B3EFC0A}"/>
            </a:ext>
          </a:extLst>
        </xdr:cNvPr>
        <xdr:cNvSpPr txBox="1"/>
      </xdr:nvSpPr>
      <xdr:spPr>
        <a:xfrm>
          <a:off x="10541000" y="228600"/>
          <a:ext cx="5676900"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600">
              <a:latin typeface="Britannic Bold" panose="020B0903060703020204" pitchFamily="34" charset="77"/>
            </a:rPr>
            <a:t>JOB SATISFACTION RATING</a:t>
          </a:r>
        </a:p>
      </xdr:txBody>
    </xdr:sp>
    <xdr:clientData/>
  </xdr:twoCellAnchor>
  <xdr:twoCellAnchor>
    <xdr:from>
      <xdr:col>19</xdr:col>
      <xdr:colOff>622300</xdr:colOff>
      <xdr:row>1</xdr:row>
      <xdr:rowOff>38100</xdr:rowOff>
    </xdr:from>
    <xdr:to>
      <xdr:col>21</xdr:col>
      <xdr:colOff>152400</xdr:colOff>
      <xdr:row>5</xdr:row>
      <xdr:rowOff>101600</xdr:rowOff>
    </xdr:to>
    <xdr:graphicFrame macro="">
      <xdr:nvGraphicFramePr>
        <xdr:cNvPr id="150" name="Chart 149">
          <a:extLst>
            <a:ext uri="{FF2B5EF4-FFF2-40B4-BE49-F238E27FC236}">
              <a16:creationId xmlns:a16="http://schemas.microsoft.com/office/drawing/2014/main" id="{D7B86711-8CCC-F247-9D8A-D79CD6D95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177800</xdr:colOff>
      <xdr:row>2</xdr:row>
      <xdr:rowOff>101600</xdr:rowOff>
    </xdr:from>
    <xdr:to>
      <xdr:col>20</xdr:col>
      <xdr:colOff>609600</xdr:colOff>
      <xdr:row>4</xdr:row>
      <xdr:rowOff>12700</xdr:rowOff>
    </xdr:to>
    <xdr:sp macro="" textlink="Rating!$B$6">
      <xdr:nvSpPr>
        <xdr:cNvPr id="151" name="TextBox 150">
          <a:extLst>
            <a:ext uri="{FF2B5EF4-FFF2-40B4-BE49-F238E27FC236}">
              <a16:creationId xmlns:a16="http://schemas.microsoft.com/office/drawing/2014/main" id="{3A407F09-6FF1-3F37-0C52-10B668C3B6F1}"/>
            </a:ext>
          </a:extLst>
        </xdr:cNvPr>
        <xdr:cNvSpPr txBox="1"/>
      </xdr:nvSpPr>
      <xdr:spPr>
        <a:xfrm>
          <a:off x="16687800" y="508000"/>
          <a:ext cx="431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93D003-1D59-C04C-A87B-CADD31BBB309}" type="TxLink">
            <a:rPr lang="en-US" sz="1200" b="0" i="0" u="none" strike="noStrike">
              <a:solidFill>
                <a:srgbClr val="000000"/>
              </a:solidFill>
              <a:latin typeface="Britannic Bold" panose="020B0903060703020204" pitchFamily="34" charset="77"/>
              <a:cs typeface="Calibri"/>
            </a:rPr>
            <a:pPr algn="ctr"/>
            <a:t>2.6</a:t>
          </a:fld>
          <a:endParaRPr lang="en-GB" sz="1100">
            <a:latin typeface="Britannic Bold" panose="020B0903060703020204" pitchFamily="34" charset="77"/>
          </a:endParaRPr>
        </a:p>
      </xdr:txBody>
    </xdr:sp>
    <xdr:clientData/>
  </xdr:twoCellAnchor>
  <xdr:twoCellAnchor>
    <xdr:from>
      <xdr:col>0</xdr:col>
      <xdr:colOff>762000</xdr:colOff>
      <xdr:row>11</xdr:row>
      <xdr:rowOff>165100</xdr:rowOff>
    </xdr:from>
    <xdr:to>
      <xdr:col>6</xdr:col>
      <xdr:colOff>393700</xdr:colOff>
      <xdr:row>13</xdr:row>
      <xdr:rowOff>114300</xdr:rowOff>
    </xdr:to>
    <xdr:sp macro="" textlink="">
      <xdr:nvSpPr>
        <xdr:cNvPr id="153" name="TextBox 152">
          <a:extLst>
            <a:ext uri="{FF2B5EF4-FFF2-40B4-BE49-F238E27FC236}">
              <a16:creationId xmlns:a16="http://schemas.microsoft.com/office/drawing/2014/main" id="{23CB12C4-9D70-AB32-B814-2702A3AB50AD}"/>
            </a:ext>
          </a:extLst>
        </xdr:cNvPr>
        <xdr:cNvSpPr txBox="1"/>
      </xdr:nvSpPr>
      <xdr:spPr>
        <a:xfrm>
          <a:off x="762000" y="2400300"/>
          <a:ext cx="45847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Total Employees By Gender</a:t>
          </a:r>
        </a:p>
      </xdr:txBody>
    </xdr:sp>
    <xdr:clientData/>
  </xdr:twoCellAnchor>
  <xdr:twoCellAnchor editAs="oneCell">
    <xdr:from>
      <xdr:col>0</xdr:col>
      <xdr:colOff>762000</xdr:colOff>
      <xdr:row>13</xdr:row>
      <xdr:rowOff>139700</xdr:rowOff>
    </xdr:from>
    <xdr:to>
      <xdr:col>6</xdr:col>
      <xdr:colOff>393700</xdr:colOff>
      <xdr:row>16</xdr:row>
      <xdr:rowOff>165100</xdr:rowOff>
    </xdr:to>
    <mc:AlternateContent xmlns:mc="http://schemas.openxmlformats.org/markup-compatibility/2006" xmlns:a14="http://schemas.microsoft.com/office/drawing/2010/main">
      <mc:Choice Requires="a14">
        <xdr:graphicFrame macro="">
          <xdr:nvGraphicFramePr>
            <xdr:cNvPr id="154" name="Gender 3">
              <a:extLst>
                <a:ext uri="{FF2B5EF4-FFF2-40B4-BE49-F238E27FC236}">
                  <a16:creationId xmlns:a16="http://schemas.microsoft.com/office/drawing/2014/main" id="{22F417B9-CFC8-154E-870E-2E993E039C6F}"/>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762000" y="2781300"/>
              <a:ext cx="4584700" cy="635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609600</xdr:colOff>
      <xdr:row>16</xdr:row>
      <xdr:rowOff>190500</xdr:rowOff>
    </xdr:from>
    <xdr:to>
      <xdr:col>3</xdr:col>
      <xdr:colOff>584200</xdr:colOff>
      <xdr:row>25</xdr:row>
      <xdr:rowOff>190500</xdr:rowOff>
    </xdr:to>
    <xdr:graphicFrame macro="">
      <xdr:nvGraphicFramePr>
        <xdr:cNvPr id="155" name="Chart 154">
          <a:extLst>
            <a:ext uri="{FF2B5EF4-FFF2-40B4-BE49-F238E27FC236}">
              <a16:creationId xmlns:a16="http://schemas.microsoft.com/office/drawing/2014/main" id="{C49307D6-7623-1E4E-9CF6-7E29ADE7A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520700</xdr:colOff>
      <xdr:row>16</xdr:row>
      <xdr:rowOff>165100</xdr:rowOff>
    </xdr:from>
    <xdr:to>
      <xdr:col>6</xdr:col>
      <xdr:colOff>584200</xdr:colOff>
      <xdr:row>26</xdr:row>
      <xdr:rowOff>0</xdr:rowOff>
    </xdr:to>
    <xdr:graphicFrame macro="">
      <xdr:nvGraphicFramePr>
        <xdr:cNvPr id="156" name="Chart 155">
          <a:extLst>
            <a:ext uri="{FF2B5EF4-FFF2-40B4-BE49-F238E27FC236}">
              <a16:creationId xmlns:a16="http://schemas.microsoft.com/office/drawing/2014/main" id="{60D5EDC2-7807-894C-A824-29BEF11B5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139700</xdr:colOff>
      <xdr:row>11</xdr:row>
      <xdr:rowOff>152400</xdr:rowOff>
    </xdr:from>
    <xdr:to>
      <xdr:col>14</xdr:col>
      <xdr:colOff>25400</xdr:colOff>
      <xdr:row>13</xdr:row>
      <xdr:rowOff>101600</xdr:rowOff>
    </xdr:to>
    <xdr:sp macro="" textlink="">
      <xdr:nvSpPr>
        <xdr:cNvPr id="157" name="TextBox 156">
          <a:extLst>
            <a:ext uri="{FF2B5EF4-FFF2-40B4-BE49-F238E27FC236}">
              <a16:creationId xmlns:a16="http://schemas.microsoft.com/office/drawing/2014/main" id="{ED9454B1-71E7-7441-AEF0-07F5D797691D}"/>
            </a:ext>
          </a:extLst>
        </xdr:cNvPr>
        <xdr:cNvSpPr txBox="1"/>
      </xdr:nvSpPr>
      <xdr:spPr>
        <a:xfrm>
          <a:off x="5918200" y="2387600"/>
          <a:ext cx="56642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Education</a:t>
          </a:r>
        </a:p>
      </xdr:txBody>
    </xdr:sp>
    <xdr:clientData/>
  </xdr:twoCellAnchor>
  <xdr:twoCellAnchor>
    <xdr:from>
      <xdr:col>6</xdr:col>
      <xdr:colOff>711200</xdr:colOff>
      <xdr:row>12</xdr:row>
      <xdr:rowOff>190500</xdr:rowOff>
    </xdr:from>
    <xdr:to>
      <xdr:col>14</xdr:col>
      <xdr:colOff>241300</xdr:colOff>
      <xdr:row>26</xdr:row>
      <xdr:rowOff>0</xdr:rowOff>
    </xdr:to>
    <xdr:graphicFrame macro="">
      <xdr:nvGraphicFramePr>
        <xdr:cNvPr id="158" name="Chart 157">
          <a:extLst>
            <a:ext uri="{FF2B5EF4-FFF2-40B4-BE49-F238E27FC236}">
              <a16:creationId xmlns:a16="http://schemas.microsoft.com/office/drawing/2014/main" id="{8CB348DA-AA4E-7E4A-B34E-50A56C9C2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596900</xdr:colOff>
      <xdr:row>11</xdr:row>
      <xdr:rowOff>190500</xdr:rowOff>
    </xdr:from>
    <xdr:to>
      <xdr:col>20</xdr:col>
      <xdr:colOff>800100</xdr:colOff>
      <xdr:row>13</xdr:row>
      <xdr:rowOff>114300</xdr:rowOff>
    </xdr:to>
    <xdr:sp macro="" textlink="">
      <xdr:nvSpPr>
        <xdr:cNvPr id="159" name="TextBox 158">
          <a:extLst>
            <a:ext uri="{FF2B5EF4-FFF2-40B4-BE49-F238E27FC236}">
              <a16:creationId xmlns:a16="http://schemas.microsoft.com/office/drawing/2014/main" id="{E6AA9F8B-4627-0D46-B388-A03F35BFF64D}"/>
            </a:ext>
          </a:extLst>
        </xdr:cNvPr>
        <xdr:cNvSpPr txBox="1"/>
      </xdr:nvSpPr>
      <xdr:spPr>
        <a:xfrm>
          <a:off x="12153900" y="2425700"/>
          <a:ext cx="51562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Job Role</a:t>
          </a:r>
        </a:p>
      </xdr:txBody>
    </xdr:sp>
    <xdr:clientData/>
  </xdr:twoCellAnchor>
  <xdr:twoCellAnchor>
    <xdr:from>
      <xdr:col>14</xdr:col>
      <xdr:colOff>292100</xdr:colOff>
      <xdr:row>13</xdr:row>
      <xdr:rowOff>101600</xdr:rowOff>
    </xdr:from>
    <xdr:to>
      <xdr:col>21</xdr:col>
      <xdr:colOff>241300</xdr:colOff>
      <xdr:row>26</xdr:row>
      <xdr:rowOff>76200</xdr:rowOff>
    </xdr:to>
    <mc:AlternateContent xmlns:mc="http://schemas.openxmlformats.org/markup-compatibility/2006">
      <mc:Choice xmlns:cx1="http://schemas.microsoft.com/office/drawing/2015/9/8/chartex" Requires="cx1">
        <xdr:graphicFrame macro="">
          <xdr:nvGraphicFramePr>
            <xdr:cNvPr id="160" name="Chart 159">
              <a:extLst>
                <a:ext uri="{FF2B5EF4-FFF2-40B4-BE49-F238E27FC236}">
                  <a16:creationId xmlns:a16="http://schemas.microsoft.com/office/drawing/2014/main" id="{91953E7D-2836-2947-9DBF-685BED816E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026900" y="2701925"/>
              <a:ext cx="5816600" cy="25749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774700</xdr:colOff>
      <xdr:row>26</xdr:row>
      <xdr:rowOff>127000</xdr:rowOff>
    </xdr:from>
    <xdr:to>
      <xdr:col>6</xdr:col>
      <xdr:colOff>393700</xdr:colOff>
      <xdr:row>28</xdr:row>
      <xdr:rowOff>76200</xdr:rowOff>
    </xdr:to>
    <xdr:sp macro="" textlink="">
      <xdr:nvSpPr>
        <xdr:cNvPr id="161" name="TextBox 160">
          <a:extLst>
            <a:ext uri="{FF2B5EF4-FFF2-40B4-BE49-F238E27FC236}">
              <a16:creationId xmlns:a16="http://schemas.microsoft.com/office/drawing/2014/main" id="{F24AE152-6D7C-D34B-A83E-FF927A5A2E83}"/>
            </a:ext>
          </a:extLst>
        </xdr:cNvPr>
        <xdr:cNvSpPr txBox="1"/>
      </xdr:nvSpPr>
      <xdr:spPr>
        <a:xfrm>
          <a:off x="774700" y="5410200"/>
          <a:ext cx="45720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Department</a:t>
          </a:r>
        </a:p>
      </xdr:txBody>
    </xdr:sp>
    <xdr:clientData/>
  </xdr:twoCellAnchor>
  <xdr:twoCellAnchor>
    <xdr:from>
      <xdr:col>0</xdr:col>
      <xdr:colOff>622300</xdr:colOff>
      <xdr:row>28</xdr:row>
      <xdr:rowOff>88900</xdr:rowOff>
    </xdr:from>
    <xdr:to>
      <xdr:col>6</xdr:col>
      <xdr:colOff>584200</xdr:colOff>
      <xdr:row>40</xdr:row>
      <xdr:rowOff>88900</xdr:rowOff>
    </xdr:to>
    <xdr:graphicFrame macro="">
      <xdr:nvGraphicFramePr>
        <xdr:cNvPr id="162" name="Chart 161">
          <a:extLst>
            <a:ext uri="{FF2B5EF4-FFF2-40B4-BE49-F238E27FC236}">
              <a16:creationId xmlns:a16="http://schemas.microsoft.com/office/drawing/2014/main" id="{9081410C-2B1D-6444-814A-D2CD98C22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127000</xdr:colOff>
      <xdr:row>26</xdr:row>
      <xdr:rowOff>101600</xdr:rowOff>
    </xdr:from>
    <xdr:to>
      <xdr:col>11</xdr:col>
      <xdr:colOff>762000</xdr:colOff>
      <xdr:row>28</xdr:row>
      <xdr:rowOff>88900</xdr:rowOff>
    </xdr:to>
    <xdr:sp macro="" textlink="">
      <xdr:nvSpPr>
        <xdr:cNvPr id="163" name="TextBox 162">
          <a:extLst>
            <a:ext uri="{FF2B5EF4-FFF2-40B4-BE49-F238E27FC236}">
              <a16:creationId xmlns:a16="http://schemas.microsoft.com/office/drawing/2014/main" id="{9184EC9A-DFCB-CB4C-9289-27E96F3DCA3B}"/>
            </a:ext>
          </a:extLst>
        </xdr:cNvPr>
        <xdr:cNvSpPr txBox="1"/>
      </xdr:nvSpPr>
      <xdr:spPr>
        <a:xfrm>
          <a:off x="5905500" y="5384800"/>
          <a:ext cx="39370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Age-Group</a:t>
          </a:r>
        </a:p>
      </xdr:txBody>
    </xdr:sp>
    <xdr:clientData/>
  </xdr:twoCellAnchor>
  <xdr:twoCellAnchor>
    <xdr:from>
      <xdr:col>6</xdr:col>
      <xdr:colOff>711200</xdr:colOff>
      <xdr:row>28</xdr:row>
      <xdr:rowOff>88900</xdr:rowOff>
    </xdr:from>
    <xdr:to>
      <xdr:col>12</xdr:col>
      <xdr:colOff>279400</xdr:colOff>
      <xdr:row>40</xdr:row>
      <xdr:rowOff>101600</xdr:rowOff>
    </xdr:to>
    <xdr:graphicFrame macro="">
      <xdr:nvGraphicFramePr>
        <xdr:cNvPr id="164" name="Chart 163">
          <a:extLst>
            <a:ext uri="{FF2B5EF4-FFF2-40B4-BE49-F238E27FC236}">
              <a16:creationId xmlns:a16="http://schemas.microsoft.com/office/drawing/2014/main" id="{CA1895A8-ED5F-CA44-BB3E-32D402C32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685800</xdr:colOff>
      <xdr:row>26</xdr:row>
      <xdr:rowOff>114300</xdr:rowOff>
    </xdr:from>
    <xdr:to>
      <xdr:col>16</xdr:col>
      <xdr:colOff>469900</xdr:colOff>
      <xdr:row>28</xdr:row>
      <xdr:rowOff>127000</xdr:rowOff>
    </xdr:to>
    <xdr:sp macro="" textlink="">
      <xdr:nvSpPr>
        <xdr:cNvPr id="165" name="TextBox 164">
          <a:extLst>
            <a:ext uri="{FF2B5EF4-FFF2-40B4-BE49-F238E27FC236}">
              <a16:creationId xmlns:a16="http://schemas.microsoft.com/office/drawing/2014/main" id="{B0641173-F75D-C94A-B7D6-831C6A7CCD50}"/>
            </a:ext>
          </a:extLst>
        </xdr:cNvPr>
        <xdr:cNvSpPr txBox="1"/>
      </xdr:nvSpPr>
      <xdr:spPr>
        <a:xfrm>
          <a:off x="10591800" y="5397500"/>
          <a:ext cx="30861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000">
              <a:latin typeface="Britannic Bold" panose="020B0903060703020204" pitchFamily="34" charset="77"/>
            </a:rPr>
            <a:t>Attrition By Marital-Status</a:t>
          </a:r>
        </a:p>
      </xdr:txBody>
    </xdr:sp>
    <xdr:clientData/>
  </xdr:twoCellAnchor>
  <xdr:twoCellAnchor>
    <xdr:from>
      <xdr:col>12</xdr:col>
      <xdr:colOff>393700</xdr:colOff>
      <xdr:row>28</xdr:row>
      <xdr:rowOff>101600</xdr:rowOff>
    </xdr:from>
    <xdr:to>
      <xdr:col>16</xdr:col>
      <xdr:colOff>723900</xdr:colOff>
      <xdr:row>40</xdr:row>
      <xdr:rowOff>88900</xdr:rowOff>
    </xdr:to>
    <mc:AlternateContent xmlns:mc="http://schemas.openxmlformats.org/markup-compatibility/2006">
      <mc:Choice xmlns:cx2="http://schemas.microsoft.com/office/drawing/2015/10/21/chartex" Requires="cx2">
        <xdr:graphicFrame macro="">
          <xdr:nvGraphicFramePr>
            <xdr:cNvPr id="166" name="Chart 165">
              <a:extLst>
                <a:ext uri="{FF2B5EF4-FFF2-40B4-BE49-F238E27FC236}">
                  <a16:creationId xmlns:a16="http://schemas.microsoft.com/office/drawing/2014/main" id="{429BE302-DB33-D349-B9AD-6F7D4B151C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452100" y="5702300"/>
              <a:ext cx="3683000" cy="2387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25400</xdr:colOff>
      <xdr:row>34</xdr:row>
      <xdr:rowOff>101600</xdr:rowOff>
    </xdr:from>
    <xdr:to>
      <xdr:col>21</xdr:col>
      <xdr:colOff>165100</xdr:colOff>
      <xdr:row>40</xdr:row>
      <xdr:rowOff>101600</xdr:rowOff>
    </xdr:to>
    <mc:AlternateContent xmlns:mc="http://schemas.openxmlformats.org/markup-compatibility/2006" xmlns:a14="http://schemas.microsoft.com/office/drawing/2010/main">
      <mc:Choice Requires="a14">
        <xdr:graphicFrame macro="">
          <xdr:nvGraphicFramePr>
            <xdr:cNvPr id="167" name="Department 1">
              <a:extLst>
                <a:ext uri="{FF2B5EF4-FFF2-40B4-BE49-F238E27FC236}">
                  <a16:creationId xmlns:a16="http://schemas.microsoft.com/office/drawing/2014/main" id="{A9387ADB-893D-C548-BDBC-17D5284A452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058900" y="7010400"/>
              <a:ext cx="3441700" cy="1219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25400</xdr:colOff>
      <xdr:row>28</xdr:row>
      <xdr:rowOff>88900</xdr:rowOff>
    </xdr:from>
    <xdr:to>
      <xdr:col>21</xdr:col>
      <xdr:colOff>139700</xdr:colOff>
      <xdr:row>34</xdr:row>
      <xdr:rowOff>25400</xdr:rowOff>
    </xdr:to>
    <mc:AlternateContent xmlns:mc="http://schemas.openxmlformats.org/markup-compatibility/2006" xmlns:a14="http://schemas.microsoft.com/office/drawing/2010/main">
      <mc:Choice Requires="a14">
        <xdr:graphicFrame macro="">
          <xdr:nvGraphicFramePr>
            <xdr:cNvPr id="168" name="Education Field 3">
              <a:extLst>
                <a:ext uri="{FF2B5EF4-FFF2-40B4-BE49-F238E27FC236}">
                  <a16:creationId xmlns:a16="http://schemas.microsoft.com/office/drawing/2014/main" id="{B6EB1463-B124-C14A-BC99-146FFC6E7A6B}"/>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4058900" y="5778500"/>
              <a:ext cx="3416300" cy="1155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c:userShapes xmlns:c="http://schemas.openxmlformats.org/drawingml/2006/chart">
  <cdr:relSizeAnchor xmlns:cdr="http://schemas.openxmlformats.org/drawingml/2006/chartDrawing">
    <cdr:from>
      <cdr:x>0.31606</cdr:x>
      <cdr:y>0.29861</cdr:y>
    </cdr:from>
    <cdr:to>
      <cdr:x>0.68912</cdr:x>
      <cdr:y>0.72222</cdr:y>
    </cdr:to>
    <cdr:sp macro="" textlink="'Employee by Gender'!$C$11">
      <cdr:nvSpPr>
        <cdr:cNvPr id="2" name="TextBox 1">
          <a:extLst xmlns:a="http://schemas.openxmlformats.org/drawingml/2006/main">
            <a:ext uri="{FF2B5EF4-FFF2-40B4-BE49-F238E27FC236}">
              <a16:creationId xmlns:a16="http://schemas.microsoft.com/office/drawing/2014/main" id="{BEE4983A-F916-9403-8400-1D5D2E634CFC}"/>
            </a:ext>
          </a:extLst>
        </cdr:cNvPr>
        <cdr:cNvSpPr txBox="1"/>
      </cdr:nvSpPr>
      <cdr:spPr>
        <a:xfrm xmlns:a="http://schemas.openxmlformats.org/drawingml/2006/main">
          <a:off x="774700" y="546100"/>
          <a:ext cx="914400" cy="774700"/>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AD004515-441F-DB48-9CAE-4E17E5D8FB91}" type="TxLink">
            <a:rPr lang="en-US" sz="2200" b="0" i="0" u="none" strike="noStrike">
              <a:solidFill>
                <a:srgbClr val="000000"/>
              </a:solidFill>
              <a:latin typeface="Britannic Bold" panose="020B0903060703020204" pitchFamily="34" charset="77"/>
              <a:cs typeface="Calibri"/>
            </a:rPr>
            <a:pPr algn="ctr"/>
            <a:t>40%</a:t>
          </a:fld>
          <a:endParaRPr lang="en-GB" sz="2200">
            <a:latin typeface="Britannic Bold" panose="020B0903060703020204" pitchFamily="34" charset="77"/>
          </a:endParaRPr>
        </a:p>
      </cdr:txBody>
    </cdr:sp>
  </cdr:relSizeAnchor>
  <cdr:relSizeAnchor xmlns:cdr="http://schemas.openxmlformats.org/drawingml/2006/chartDrawing">
    <cdr:from>
      <cdr:x>0.31606</cdr:x>
      <cdr:y>0.54861</cdr:y>
    </cdr:from>
    <cdr:to>
      <cdr:x>0.68912</cdr:x>
      <cdr:y>0.72222</cdr:y>
    </cdr:to>
    <cdr:sp macro="" textlink="">
      <cdr:nvSpPr>
        <cdr:cNvPr id="3" name="TextBox 2">
          <a:extLst xmlns:a="http://schemas.openxmlformats.org/drawingml/2006/main">
            <a:ext uri="{FF2B5EF4-FFF2-40B4-BE49-F238E27FC236}">
              <a16:creationId xmlns:a16="http://schemas.microsoft.com/office/drawing/2014/main" id="{8496CEE7-5160-8164-B128-15C61D616485}"/>
            </a:ext>
          </a:extLst>
        </cdr:cNvPr>
        <cdr:cNvSpPr txBox="1"/>
      </cdr:nvSpPr>
      <cdr:spPr>
        <a:xfrm xmlns:a="http://schemas.openxmlformats.org/drawingml/2006/main">
          <a:off x="774700" y="1003300"/>
          <a:ext cx="914400" cy="317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800">
              <a:latin typeface="Britannic Bold" panose="020B0903060703020204" pitchFamily="34" charset="77"/>
            </a:rPr>
            <a:t>Female</a:t>
          </a:r>
        </a:p>
      </cdr:txBody>
    </cdr:sp>
  </cdr:relSizeAnchor>
</c:userShapes>
</file>

<file path=xl/drawings/drawing11.xml><?xml version="1.0" encoding="utf-8"?>
<c:userShapes xmlns:c="http://schemas.openxmlformats.org/drawingml/2006/chart">
  <cdr:relSizeAnchor xmlns:cdr="http://schemas.openxmlformats.org/drawingml/2006/chartDrawing">
    <cdr:from>
      <cdr:x>0.325</cdr:x>
      <cdr:y>0.29932</cdr:y>
    </cdr:from>
    <cdr:to>
      <cdr:x>0.685</cdr:x>
      <cdr:y>0.71429</cdr:y>
    </cdr:to>
    <cdr:sp macro="" textlink="'Employee by Gender'!$C$12">
      <cdr:nvSpPr>
        <cdr:cNvPr id="6" name="TextBox 1">
          <a:extLst xmlns:a="http://schemas.openxmlformats.org/drawingml/2006/main">
            <a:ext uri="{FF2B5EF4-FFF2-40B4-BE49-F238E27FC236}">
              <a16:creationId xmlns:a16="http://schemas.microsoft.com/office/drawing/2014/main" id="{381237BB-E084-ACF3-2A46-707051F6836D}"/>
            </a:ext>
          </a:extLst>
        </cdr:cNvPr>
        <cdr:cNvSpPr txBox="1"/>
      </cdr:nvSpPr>
      <cdr:spPr>
        <a:xfrm xmlns:a="http://schemas.openxmlformats.org/drawingml/2006/main">
          <a:off x="825500" y="558800"/>
          <a:ext cx="914400" cy="774700"/>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86023F35-596C-AC42-A9D1-3E1353C6BEF6}" type="TxLink">
            <a:rPr lang="en-US" sz="2200" b="0" i="0" u="none" strike="noStrike">
              <a:solidFill>
                <a:srgbClr val="000000"/>
              </a:solidFill>
              <a:latin typeface="Britannic Bold" panose="020B0903060703020204" pitchFamily="34" charset="77"/>
              <a:cs typeface="Calibri"/>
            </a:rPr>
            <a:pPr algn="ctr"/>
            <a:t>60%</a:t>
          </a:fld>
          <a:endParaRPr lang="en-GB" sz="2200">
            <a:latin typeface="Britannic Bold" panose="020B0903060703020204" pitchFamily="34" charset="77"/>
          </a:endParaRPr>
        </a:p>
      </cdr:txBody>
    </cdr:sp>
  </cdr:relSizeAnchor>
  <cdr:relSizeAnchor xmlns:cdr="http://schemas.openxmlformats.org/drawingml/2006/chartDrawing">
    <cdr:from>
      <cdr:x>0.325</cdr:x>
      <cdr:y>0.54422</cdr:y>
    </cdr:from>
    <cdr:to>
      <cdr:x>0.685</cdr:x>
      <cdr:y>0.71429</cdr:y>
    </cdr:to>
    <cdr:sp macro="" textlink="">
      <cdr:nvSpPr>
        <cdr:cNvPr id="7" name="TextBox 2">
          <a:extLst xmlns:a="http://schemas.openxmlformats.org/drawingml/2006/main">
            <a:ext uri="{FF2B5EF4-FFF2-40B4-BE49-F238E27FC236}">
              <a16:creationId xmlns:a16="http://schemas.microsoft.com/office/drawing/2014/main" id="{6E19E95C-E2EB-B459-B42E-11982EB18011}"/>
            </a:ext>
          </a:extLst>
        </cdr:cNvPr>
        <cdr:cNvSpPr txBox="1"/>
      </cdr:nvSpPr>
      <cdr:spPr>
        <a:xfrm xmlns:a="http://schemas.openxmlformats.org/drawingml/2006/main">
          <a:off x="825500" y="1016000"/>
          <a:ext cx="914400" cy="317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latin typeface="Britannic Bold" panose="020B0903060703020204" pitchFamily="34" charset="77"/>
            </a:rPr>
            <a:t>Male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27.727617476849" createdVersion="8" refreshedVersion="8" minRefreshableVersion="3" recordCount="1470" xr:uid="{C13B1C94-179E-C34C-AAFB-5E95AAAD35F3}">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38952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A55E13-408F-5C47-8647-8AA6121EB61A}" name="KPI"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48CA60-7163-364C-B9A1-6C702651FD5A}" name="Rating"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78E8E7-0E06-C142-98B4-800B3CD0D560}" name="Employee by Gender"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FDA992-5FCE-214C-A0D9-A9164BA94FD3}" name="Education-wise Attrition"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4">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B1A16D-79DE-1346-AB5C-E7990ECA177C}" name="Attrition By Job Role"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E10F38-9E0E-224B-ADE1-7CCD16660319}" name="Department-wise Attrition"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E7CA10-E29A-CF47-A46B-B12D56D6D53D}" name="Attrition By Age-Group"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4"/>
    </i>
    <i>
      <x v="3"/>
    </i>
    <i t="grand">
      <x/>
    </i>
  </rowItems>
  <colItems count="1">
    <i/>
  </colItems>
  <dataFields count="1">
    <dataField name="Count of CF_attrition count" fld="17"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62B818-37CF-B84D-AEA1-B20486F322A6}" name="Attrition By Marriage Status"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68701805-D1C9-834A-92D7-EFC3FD14B3EE}" sourceName="Gender">
  <pivotTables>
    <pivotTable tabId="10" name="Employee by Gender"/>
    <pivotTable tabId="15" name="Attrition By Age-Group"/>
    <pivotTable tabId="13" name="Attrition By Job Role"/>
    <pivotTable tabId="16" name="Attrition By Marriage Status"/>
    <pivotTable tabId="14" name="Department-wise Attrition"/>
    <pivotTable tabId="12" name="Education-wise Attrition"/>
    <pivotTable tabId="7" name="KPI"/>
    <pivotTable tabId="9" name="Rating"/>
  </pivotTables>
  <data>
    <tabular pivotCacheId="15389525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0EFB230-4892-E648-9525-5500141971D3}" sourceName="Education">
  <pivotTables>
    <pivotTable tabId="12" name="Education-wise Attrition"/>
  </pivotTables>
  <data>
    <tabular pivotCacheId="1538952553">
      <items count="5">
        <i x="0" s="1"/>
        <i x="3"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69AB470-D3AA-B941-9163-64620E3B5881}" sourceName="Marital Status">
  <pivotTables>
    <pivotTable tabId="16" name="Attrition By Marriage Status"/>
  </pivotTables>
  <data>
    <tabular pivotCacheId="1538952553">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0618E30-7BD6-D442-B07D-462FC4E7E95C}" sourceName="Department">
  <pivotTables>
    <pivotTable tabId="16" name="Attrition By Marriage Status"/>
    <pivotTable tabId="15" name="Attrition By Age-Group"/>
    <pivotTable tabId="13" name="Attrition By Job Role"/>
    <pivotTable tabId="14" name="Department-wise Attrition"/>
    <pivotTable tabId="12" name="Education-wise Attrition"/>
    <pivotTable tabId="10" name="Employee by Gender"/>
    <pivotTable tabId="7" name="KPI"/>
    <pivotTable tabId="9" name="Rating"/>
  </pivotTables>
  <data>
    <tabular pivotCacheId="1538952553">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CC3F18DD-573E-684D-ABFD-862FCF4C2B44}" sourceName="Education Field">
  <pivotTables>
    <pivotTable tabId="16" name="Attrition By Marriage Status"/>
    <pivotTable tabId="15" name="Attrition By Age-Group"/>
    <pivotTable tabId="13" name="Attrition By Job Role"/>
    <pivotTable tabId="14" name="Department-wise Attrition"/>
    <pivotTable tabId="12" name="Education-wise Attrition"/>
    <pivotTable tabId="10" name="Employee by Gender"/>
    <pivotTable tabId="7" name="KPI"/>
    <pivotTable tabId="9" name="Rating"/>
  </pivotTables>
  <data>
    <tabular pivotCacheId="1538952553">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5EFE6EB-0D0A-7F49-9C42-7A61091680C6}" cache="Slicer_Gender2" caption="Gende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A6EA602-9094-F94B-BF7F-948DFD8804F7}" cache="Slicer_Gender2" caption="Gender" rowHeight="251883"/>
  <slicer name="Education Field" xr10:uid="{A16B6899-6D0D-D244-A4F2-BA5BCA2ABD57}" cache="Slicer_Education_Field2" caption="Education Field"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DE34C9A-7180-F54B-B719-6924C35B8E67}" cache="Slicer_Gender2" caption="Gender" rowHeight="251883"/>
  <slicer name="Education Field 1" xr10:uid="{9E536ABD-FFC3-4248-BE70-70BBAFBF2647}" cache="Slicer_Education_Field2" caption="Education Field"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CBE90AB0-EBB8-234E-B8CF-2737C4203C3D}" cache="Slicer_Education" caption="Education"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DB8D35B-4C96-E243-AFAE-ABBA4FE28611}" cache="Slicer_Marital_Status" caption="Marital Status" rowHeight="251883"/>
  <slicer name="Department" xr10:uid="{0C04C096-2994-5147-B9BA-91385FADF1DB}" cache="Slicer_Department" caption="Department" rowHeight="251883"/>
  <slicer name="Education Field 2" xr10:uid="{39A6E8F2-6B3A-DB4E-924E-FDE2CD6C58CD}" cache="Slicer_Education_Field2" caption="Education Field"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55ECBB04-188A-5548-9368-030BC8F6C038}" cache="Slicer_Gender2" caption="Gender" columnCount="2" rowHeight="251883"/>
  <slicer name="Department 1" xr10:uid="{4A847CF6-F13A-7443-BC6C-EE8307477491}" cache="Slicer_Department" caption="Department" rowHeight="251883"/>
  <slicer name="Education Field 3" xr10:uid="{950209E2-E17A-E04D-AF21-243C76BB033B}" cache="Slicer_Education_Field2" caption="Education Field"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E3855-D866-4168-8DBC-0381D676C609}" name="Table1" displayName="Table1" ref="A1:AR1471" totalsRowShown="0">
  <autoFilter ref="A1:AR1471" xr:uid="{6BFE3855-D866-4168-8DBC-0381D676C609}"/>
  <tableColumns count="44">
    <tableColumn id="1" xr3:uid="{7414F919-071A-4442-B678-9ACB1376C457}" name="Attrition"/>
    <tableColumn id="2" xr3:uid="{5953CD87-3380-43DA-9D09-BFE193A58CC4}" name="Business Travel"/>
    <tableColumn id="3" xr3:uid="{C7CFF9F2-E34C-46C6-86E4-495B44595341}" name="CF_age band"/>
    <tableColumn id="4" xr3:uid="{F230CF63-659C-4F2B-8F8A-B72637F82B04}" name="CF_attrition label"/>
    <tableColumn id="5" xr3:uid="{4882808A-95D9-4BCF-AD1F-F1E26BB9C134}" name="Department"/>
    <tableColumn id="6" xr3:uid="{B7F26A10-A6E4-4ABD-94D5-4D3D554D927E}" name="Education Field"/>
    <tableColumn id="7" xr3:uid="{1B9743F0-B6E2-45EE-9AFA-A8FE8240A194}" name="emp no"/>
    <tableColumn id="8" xr3:uid="{7FA286D9-3839-4940-A854-0C4A26577217}" name="Employee Number"/>
    <tableColumn id="9" xr3:uid="{C86033A1-6381-4E0E-A0C5-00F2413C1FC5}" name="Gender"/>
    <tableColumn id="10" xr3:uid="{91A16AB1-8523-4F71-93E6-0228057A1395}" name="Job Role"/>
    <tableColumn id="11" xr3:uid="{C2C33F9F-F2FE-4176-9A9A-5190D4944E60}" name="Marital Status"/>
    <tableColumn id="12" xr3:uid="{9CA4BD17-7927-48AE-9A01-29EB0B6D39A3}" name="Over Time"/>
    <tableColumn id="13" xr3:uid="{EB52BCBA-7743-43CD-8A14-7B6A7E35DA18}" name="Over18"/>
    <tableColumn id="14" xr3:uid="{770A3C7F-14B2-4AC7-BBEE-A170A5612063}" name="Training Times Last Year"/>
    <tableColumn id="15" xr3:uid="{7AD1059A-53F5-4C47-B595-C870A84EFC0D}" name="-2"/>
    <tableColumn id="16" xr3:uid="{43192443-7E4C-4761-8DFD-68EF1A7FB48F}" name="0"/>
    <tableColumn id="17" xr3:uid="{FE2C89A9-8C58-4392-A24D-80457AE6F3BA}" name="Age"/>
    <tableColumn id="18" xr3:uid="{DC496DA2-AEE1-4258-AA57-5A9C0FB4878E}" name="CF_attrition count"/>
    <tableColumn id="19" xr3:uid="{F4359AB8-DEC8-410E-A850-4871396E07C3}" name="CF_attrition counts"/>
    <tableColumn id="20" xr3:uid="{F35F1FF4-1B4F-4A97-9DDC-1ADF450049B0}" name="CF_attrition rate"/>
    <tableColumn id="21" xr3:uid="{FC577494-0CEB-4475-9C80-78B5B0D795C8}" name="CF_current Employee"/>
    <tableColumn id="22" xr3:uid="{6D316D59-0F08-4E57-9FB0-4D7440B091A5}" name="Daily Rate"/>
    <tableColumn id="23" xr3:uid="{FAB97E6D-7F70-4A45-B6D9-88F190579B49}" name="Distance From Home"/>
    <tableColumn id="24" xr3:uid="{DAA3DF61-53CA-4CF9-BD9A-EC2DC0AF5C69}" name="Education"/>
    <tableColumn id="25" xr3:uid="{6CDCE152-AACB-41F3-9A9B-BF070303F32B}" name="Employee Count"/>
    <tableColumn id="26" xr3:uid="{3A7EBCE9-B730-4F17-BB8B-5812CBD8886C}" name="Environment Satisfaction"/>
    <tableColumn id="27" xr3:uid="{5DA74E66-B12E-4224-94FB-D2AA29EDB55B}" name="Hourly Rate"/>
    <tableColumn id="28" xr3:uid="{4EED2C11-4AE1-4FEC-96CC-70F48FC012F1}" name="Job Involvement"/>
    <tableColumn id="29" xr3:uid="{0D334A4A-06BA-4AFC-B466-6C0866525C88}" name="Job Level"/>
    <tableColumn id="30" xr3:uid="{3025CFD0-6B2F-45A1-B916-BFC885C7ED87}" name="Job Satisfaction"/>
    <tableColumn id="31" xr3:uid="{BDDF689D-A683-4AF5-8F12-F2EFAC0810CC}" name="Monthly Income"/>
    <tableColumn id="32" xr3:uid="{095236FA-4B2B-4002-B4CA-572A0515F8BE}" name="Monthly Rate"/>
    <tableColumn id="33" xr3:uid="{50312A8D-36F4-4915-90D3-64757F1C2552}" name="Num Companies Worked"/>
    <tableColumn id="34" xr3:uid="{771F133C-51BA-4E69-A3AD-265212BF94C8}" name="Percent Salary Hike"/>
    <tableColumn id="35" xr3:uid="{92978DE2-78AE-4BB6-91FC-225109115100}" name="Performance Rating"/>
    <tableColumn id="36" xr3:uid="{E180941D-6509-4020-A871-D5D766143460}" name="Relationship Satisfaction"/>
    <tableColumn id="37" xr3:uid="{32B19403-51B2-434D-9BCC-53992A23DAFA}" name="Standard Hours"/>
    <tableColumn id="38" xr3:uid="{97DADAD2-BF3B-484E-9794-F5701028109A}" name="Stock Option Level"/>
    <tableColumn id="39" xr3:uid="{71CD98AE-8B0F-49B3-95E6-9EDCAF6804EF}" name="Total Working Years"/>
    <tableColumn id="40" xr3:uid="{E5E3C31C-BA41-4D45-B80D-13045427EB46}" name="Work Life Balance"/>
    <tableColumn id="41" xr3:uid="{27937D56-C95A-48A0-9815-32784272BC44}" name="Years At Company"/>
    <tableColumn id="42" xr3:uid="{86D151A6-562E-4466-929F-E5FB3F0114F4}" name="Years In Current Role"/>
    <tableColumn id="43" xr3:uid="{36F42600-ABDA-41CE-A97B-EDEFBB40DBE6}" name="Years Since Last Promotion"/>
    <tableColumn id="44" xr3:uid="{C6AA037A-E0EF-40CB-8B79-922476514633}" name="Years With Curr 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913288-E1E9-B44E-B9D3-0EE27F1D378C}" name="Table2" displayName="Table2" ref="E3:F12" totalsRowShown="0">
  <autoFilter ref="E3:F12" xr:uid="{DB913288-E1E9-B44E-B9D3-0EE27F1D378C}"/>
  <tableColumns count="2">
    <tableColumn id="1" xr3:uid="{DE4E3D5A-2D3E-6A4A-89C5-C3FB2CD093CA}" name="Job Role">
      <calculatedColumnFormula>A4</calculatedColumnFormula>
    </tableColumn>
    <tableColumn id="2" xr3:uid="{FFF2B2AB-0183-C346-8914-E5252DE28E8E}" name="Attr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E4C-6A50-4A2B-A1D9-424291481C3E}">
  <dimension ref="A1:AR1471"/>
  <sheetViews>
    <sheetView workbookViewId="0">
      <pane ySplit="1" topLeftCell="A1436" activePane="bottomLeft" state="frozen"/>
      <selection pane="bottomLeft" activeCell="AP1476" sqref="AP1476"/>
    </sheetView>
  </sheetViews>
  <sheetFormatPr defaultColWidth="8.875" defaultRowHeight="15.75" x14ac:dyDescent="0.25"/>
  <cols>
    <col min="1" max="1" width="10.5" bestFit="1" customWidth="1"/>
    <col min="2" max="2" width="16.5" bestFit="1" customWidth="1"/>
    <col min="3" max="3" width="14.125" bestFit="1" customWidth="1"/>
    <col min="4" max="4" width="17.875" bestFit="1" customWidth="1"/>
    <col min="5" max="5" width="13.625" bestFit="1" customWidth="1"/>
    <col min="6" max="6" width="16.125" bestFit="1" customWidth="1"/>
    <col min="7" max="7" width="11" bestFit="1" customWidth="1"/>
    <col min="8" max="8" width="19.125" bestFit="1" customWidth="1"/>
    <col min="9" max="9" width="9.625" bestFit="1" customWidth="1"/>
    <col min="10" max="10" width="23.125" bestFit="1" customWidth="1"/>
    <col min="11" max="11" width="15.375" bestFit="1" customWidth="1"/>
    <col min="12" max="12" width="12.375" bestFit="1" customWidth="1"/>
    <col min="13" max="13" width="9.625" bestFit="1" customWidth="1"/>
    <col min="14" max="14" width="24.125" bestFit="1" customWidth="1"/>
    <col min="15" max="15" width="5.375" bestFit="1" customWidth="1"/>
    <col min="16" max="16" width="4.625" bestFit="1" customWidth="1"/>
    <col min="17" max="17" width="6.875" bestFit="1" customWidth="1"/>
    <col min="18" max="18" width="18.375" bestFit="1" customWidth="1"/>
    <col min="19" max="19" width="19.375" bestFit="1" customWidth="1"/>
    <col min="20" max="20" width="17.125" bestFit="1" customWidth="1"/>
    <col min="21" max="21" width="21.375" bestFit="1" customWidth="1"/>
    <col min="22" max="22" width="12.375" bestFit="1" customWidth="1"/>
    <col min="23" max="23" width="21.375" bestFit="1" customWidth="1"/>
    <col min="24" max="24" width="16.375" bestFit="1" customWidth="1"/>
    <col min="25" max="25" width="17" bestFit="1" customWidth="1"/>
    <col min="26" max="26" width="24.625" bestFit="1" customWidth="1"/>
    <col min="27" max="27" width="13.5" bestFit="1" customWidth="1"/>
    <col min="28" max="28" width="17.125" bestFit="1" customWidth="1"/>
    <col min="29" max="29" width="11.125" bestFit="1" customWidth="1"/>
    <col min="30" max="30" width="16.5" bestFit="1" customWidth="1"/>
    <col min="31" max="31" width="17" bestFit="1" customWidth="1"/>
    <col min="32" max="32" width="14.875" bestFit="1" customWidth="1"/>
    <col min="33" max="33" width="24.5" bestFit="1" customWidth="1"/>
    <col min="34" max="34" width="20" bestFit="1" customWidth="1"/>
    <col min="35" max="35" width="20.125" bestFit="1" customWidth="1"/>
    <col min="36" max="36" width="24.375" bestFit="1" customWidth="1"/>
    <col min="37" max="37" width="16.375" bestFit="1" customWidth="1"/>
    <col min="38" max="38" width="19.125" bestFit="1" customWidth="1"/>
    <col min="39" max="39" width="20.5" bestFit="1" customWidth="1"/>
    <col min="40" max="41" width="18.875" bestFit="1" customWidth="1"/>
    <col min="42" max="42" width="21" bestFit="1" customWidth="1"/>
    <col min="43" max="43" width="26.125" bestFit="1" customWidth="1"/>
    <col min="44" max="44" width="24.625" bestFit="1"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25">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25">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25">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25">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25">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25">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25">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25">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25">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25">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25">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25">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25">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25">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25">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25">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25">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25">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25">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25">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25">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25">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25">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25">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25">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25">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25">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25">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25">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25">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25">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25">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25">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25">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25">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25">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25">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25">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25">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25">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25">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25">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25">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25">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25">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25">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25">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25">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25">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25">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25">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25">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25">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25">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25">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25">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25">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25">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25">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25">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25">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25">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25">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25">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25">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25">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25">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25">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25">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25">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25">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25">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25">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25">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25">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25">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25">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25">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25">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25">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25">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25">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25">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25">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25">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25">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25">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25">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25">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25">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25">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25">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25">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25">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25">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25">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25">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25">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25">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25">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25">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25">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25">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25">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25">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25">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25">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25">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25">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25">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25">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25">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25">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25">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25">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25">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25">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25">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25">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25">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25">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25">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25">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25">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25">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25">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25">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25">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25">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25">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25">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25">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25">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25">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25">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25">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25">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25">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25">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25">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25">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25">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25">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25">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25">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25">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25">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25">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25">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25">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25">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25">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25">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25">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25">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25">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25">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25">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25">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25">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25">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25">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25">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25">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25">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25">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25">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25">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25">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25">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25">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25">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25">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25">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25">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25">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25">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25">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25">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25">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25">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25">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25">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25">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25">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25">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25">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25">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25">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25">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25">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25">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25">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25">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25">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25">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25">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25">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25">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25">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25">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25">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25">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25">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25">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25">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25">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25">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25">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25">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25">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25">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25">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25">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25">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25">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25">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25">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25">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25">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25">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25">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25">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25">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25">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25">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25">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25">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25">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25">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25">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25">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25">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25">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25">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25">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25">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25">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25">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25">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25">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25">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25">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25">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25">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25">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25">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25">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25">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25">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25">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25">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25">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25">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25">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25">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25">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25">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25">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25">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25">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25">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25">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25">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25">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25">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25">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25">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25">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25">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25">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25">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25">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25">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25">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25">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25">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25">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25">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25">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25">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25">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25">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25">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25">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25">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25">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25">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25">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25">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25">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25">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25">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25">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25">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25">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25">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25">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25">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25">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25">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25">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25">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25">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25">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25">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25">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25">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25">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25">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25">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25">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25">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25">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25">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25">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25">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25">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25">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25">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25">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25">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25">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25">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25">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25">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25">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25">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25">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25">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25">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25">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25">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25">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25">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25">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25">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25">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25">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25">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25">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25">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25">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25">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25">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25">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25">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25">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25">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25">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25">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25">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25">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25">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25">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25">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25">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25">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25">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25">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25">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25">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25">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25">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25">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25">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25">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25">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25">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25">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25">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25">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25">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25">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25">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25">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25">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25">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25">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25">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25">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25">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25">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25">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25">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25">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25">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25">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25">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25">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25">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25">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25">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25">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25">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25">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25">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25">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25">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25">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25">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25">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25">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25">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25">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25">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25">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25">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25">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25">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25">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25">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25">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25">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25">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25">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25">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25">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25">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25">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25">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25">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25">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25">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25">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25">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25">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25">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25">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25">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25">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25">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25">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25">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25">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25">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25">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25">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25">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25">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25">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25">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25">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25">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25">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25">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25">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25">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25">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25">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25">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25">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25">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25">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25">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25">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25">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25">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25">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25">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25">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25">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25">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25">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25">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25">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25">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25">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25">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25">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25">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25">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25">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25">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25">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25">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25">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25">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25">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25">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25">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25">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25">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25">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25">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25">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25">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25">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25">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25">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25">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25">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25">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25">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25">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25">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25">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25">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25">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25">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25">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25">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25">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25">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25">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25">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25">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25">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25">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25">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25">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25">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25">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25">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25">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25">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25">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25">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25">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25">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25">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25">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25">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25">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25">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25">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25">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25">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25">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25">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25">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25">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25">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25">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25">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25">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25">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25">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25">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25">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25">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25">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25">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25">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25">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25">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25">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25">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25">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25">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25">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25">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25">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25">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25">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25">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25">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25">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25">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25">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25">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25">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25">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25">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25">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25">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25">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25">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25">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25">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25">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25">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25">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25">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25">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25">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25">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25">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25">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25">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25">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25">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25">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25">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25">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25">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25">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25">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25">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25">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25">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25">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25">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25">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25">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25">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25">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25">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25">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25">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25">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25">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25">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25">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25">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25">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25">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25">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25">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25">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25">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25">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25">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25">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25">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25">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25">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25">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25">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25">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25">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25">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25">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25">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25">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25">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25">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25">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25">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25">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25">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25">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25">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25">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25">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25">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25">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25">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25">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25">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25">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25">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25">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25">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25">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25">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25">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25">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25">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25">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25">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25">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25">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25">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25">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25">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25">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25">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25">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25">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25">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25">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25">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25">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25">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25">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25">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25">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25">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25">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25">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25">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25">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25">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25">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25">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25">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25">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25">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25">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25">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25">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25">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25">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25">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25">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25">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25">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25">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25">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25">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25">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25">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25">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25">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25">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25">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25">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25">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25">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25">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25">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25">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25">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25">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25">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25">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25">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25">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25">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25">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25">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25">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25">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25">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25">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25">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25">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25">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25">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25">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25">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25">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25">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25">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25">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25">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25">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25">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25">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25">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25">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25">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25">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25">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25">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25">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25">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25">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25">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25">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25">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25">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25">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25">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25">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25">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25">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25">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25">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25">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25">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25">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25">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25">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25">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25">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25">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25">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25">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25">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25">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25">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25">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25">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25">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25">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25">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25">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25">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25">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25">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25">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25">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25">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25">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25">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25">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25">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25">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25">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25">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25">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25">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25">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25">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25">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25">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25">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25">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25">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25">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25">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25">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25">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25">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25">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25">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25">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25">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25">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25">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25">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25">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25">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25">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25">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25">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25">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25">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25">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25">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25">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25">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25">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25">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25">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25">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25">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25">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25">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25">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25">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25">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25">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25">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25">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25">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25">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25">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25">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25">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25">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25">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25">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25">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25">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25">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25">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25">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25">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25">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25">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25">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25">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25">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25">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25">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25">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25">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25">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25">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25">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25">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25">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25">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25">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25">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25">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25">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25">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25">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25">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25">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25">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25">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25">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25">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25">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25">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25">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25">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25">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25">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25">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25">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25">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25">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25">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25">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25">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25">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25">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25">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25">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25">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25">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25">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25">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25">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25">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25">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25">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25">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25">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25">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25">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25">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25">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25">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25">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25">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25">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25">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25">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25">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25">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25">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25">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25">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25">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25">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25">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25">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25">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25">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25">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25">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25">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25">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25">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25">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25">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25">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25">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25">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25">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25">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25">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25">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25">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25">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25">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25">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25">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25">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25">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25">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25">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25">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25">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25">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25">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25">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25">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25">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25">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25">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25">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25">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25">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25">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25">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25">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25">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25">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25">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25">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25">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25">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25">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25">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25">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25">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25">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25">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25">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25">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25">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25">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25">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25">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25">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25">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25">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25">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25">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25">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25">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25">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25">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25">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25">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25">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25">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25">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25">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25">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25">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25">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25">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25">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25">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25">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25">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25">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25">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25">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25">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25">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25">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25">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25">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25">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25">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25">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25">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25">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25">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25">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25">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25">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25">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25">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25">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25">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25">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25">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25">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25">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25">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25">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25">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25">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25">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25">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25">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25">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25">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25">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25">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25">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25">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25">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25">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25">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25">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25">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25">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25">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25">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25">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25">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25">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25">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25">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25">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25">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25">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25">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25">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25">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25">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25">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25">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25">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25">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25">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25">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25">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25">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25">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25">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25">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25">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25">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25">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25">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25">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25">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25">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25">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25">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25">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25">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25">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25">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25">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25">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25">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25">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25">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25">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25">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25">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25">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25">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25">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25">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25">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25">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25">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25">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25">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25">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25">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25">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25">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25">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25">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25">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25">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25">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25">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25">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25">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25">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25">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25">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25">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25">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25">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25">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25">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25">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25">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25">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25">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25">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25">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25">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25">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25">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25">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25">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25">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25">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25">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25">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25">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25">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25">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25">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25">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25">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25">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25">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25">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25">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25">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25">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25">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25">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25">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25">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25">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25">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25">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25">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25">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25">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25">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25">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25">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25">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25">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25">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25">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25">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25">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25">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25">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25">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25">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25">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25">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25">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25">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25">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25">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25">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25">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25">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25">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25">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25">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25">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25">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25">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25">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25">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25">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25">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25">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25">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25">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25">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25">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25">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25">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25">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25">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25">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25">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25">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25">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25">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25">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25">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25">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25">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25">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25">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25">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25">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25">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25">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25">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25">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25">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25">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25">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25">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25">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25">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25">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25">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25">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25">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25">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25">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25">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25">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25">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25">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25">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25">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25">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25">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25">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25">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25">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25">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25">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25">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25">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25">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25">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25">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25">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25">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25">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25">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25">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25">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25">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25">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25">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25">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25">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25">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25">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25">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25">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25">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25">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25">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25">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25">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25">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25">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25">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25">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25">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25">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25">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25">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25">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25">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25">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25">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25">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25">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25">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25">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25">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25">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25">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25">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25">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25">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25">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25">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25">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25">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25">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25">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25">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25">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25">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25">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25">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25">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25">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25">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25">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25">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25">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25">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25">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25">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25">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25">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25">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25">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25">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25">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25">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25">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25">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25">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25">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25">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25">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25">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25">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25">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25">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25">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25">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25">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25">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25">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25">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25">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25">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25">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25">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25">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25">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25">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25">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25">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25">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25">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25">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25">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25">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25">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25">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25">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25">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25">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25">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25">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25">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25">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25">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25">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25">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25">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25">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25">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25">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25">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25">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25">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25">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25">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25">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25">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25">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25">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25">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25">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25">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25">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25">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25">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25">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25">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25">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25">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25">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25">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25">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25">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25">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25">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25">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25">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25">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25">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25">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25">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25">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25">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25">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25">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25">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25">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25">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25">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25">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25">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25">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25">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25">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25">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25">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25">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25">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25">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25">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25">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25">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25">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25">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25">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25">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25">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25">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25">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25">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25">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25">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25">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25">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25">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25">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25">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25">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25">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25">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25">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25">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25">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25">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25">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25">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25">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25">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25">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25">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25">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25">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25">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25">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25">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25">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25">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25">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25">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25">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25">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25">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25">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25">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25">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25">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25">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25">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25">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25">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25">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25">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25">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25">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25">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25">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25">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25">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25">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25">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25">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25">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25">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25">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25">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25">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83BEF-E240-C74D-AEB1-53390C8822FC}">
  <dimension ref="A3:E7"/>
  <sheetViews>
    <sheetView workbookViewId="0">
      <selection activeCell="H16" sqref="H16"/>
    </sheetView>
  </sheetViews>
  <sheetFormatPr defaultColWidth="11" defaultRowHeight="15.75" x14ac:dyDescent="0.25"/>
  <cols>
    <col min="1" max="1" width="25" bestFit="1" customWidth="1"/>
    <col min="2" max="2" width="23.375" bestFit="1" customWidth="1"/>
    <col min="3" max="3" width="14" bestFit="1" customWidth="1"/>
    <col min="4" max="4" width="15.5" bestFit="1" customWidth="1"/>
    <col min="5" max="5" width="12.375" bestFit="1" customWidth="1"/>
  </cols>
  <sheetData>
    <row r="3" spans="1:5" x14ac:dyDescent="0.25">
      <c r="A3" t="s">
        <v>1554</v>
      </c>
      <c r="B3" t="s">
        <v>1555</v>
      </c>
      <c r="C3" t="s">
        <v>1556</v>
      </c>
    </row>
    <row r="4" spans="1:5" x14ac:dyDescent="0.25">
      <c r="A4" s="1">
        <v>1470</v>
      </c>
      <c r="B4" s="1">
        <v>237</v>
      </c>
      <c r="C4" s="1">
        <v>36.923809523809524</v>
      </c>
    </row>
    <row r="6" spans="1:5" x14ac:dyDescent="0.25">
      <c r="A6" s="2" t="s">
        <v>1557</v>
      </c>
      <c r="B6" s="2" t="s">
        <v>1558</v>
      </c>
      <c r="C6" s="2" t="s">
        <v>1559</v>
      </c>
      <c r="D6" s="2" t="s">
        <v>1560</v>
      </c>
      <c r="E6" s="2" t="s">
        <v>1561</v>
      </c>
    </row>
    <row r="7" spans="1:5" x14ac:dyDescent="0.25">
      <c r="A7">
        <f>GETPIVOTDATA("Count of Employee Number",$A$3)</f>
        <v>1470</v>
      </c>
      <c r="B7">
        <f>GETPIVOTDATA("Sum of CF_attrition count",$A$3)</f>
        <v>237</v>
      </c>
      <c r="C7" s="5">
        <f>GETPIVOTDATA("Average of Age",$A$3)</f>
        <v>36.923809523809524</v>
      </c>
      <c r="D7">
        <f>GETPIVOTDATA("Count of Employee Number",$A$3)-GETPIVOTDATA("Sum of CF_attrition count",$A$3)</f>
        <v>1233</v>
      </c>
      <c r="E7" s="4">
        <f>GETPIVOTDATA("Sum of CF_attrition count",$A$3)/GETPIVOTDATA("Count of Employee Number",$A$3)</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3EDF3-A465-8B44-B56A-026E0C479855}">
  <dimension ref="A3:C7"/>
  <sheetViews>
    <sheetView tabSelected="1" workbookViewId="0">
      <selection activeCell="C7" sqref="C7"/>
    </sheetView>
  </sheetViews>
  <sheetFormatPr defaultColWidth="11" defaultRowHeight="15.75" x14ac:dyDescent="0.25"/>
  <cols>
    <col min="1" max="1" width="24.375" bestFit="1" customWidth="1"/>
  </cols>
  <sheetData>
    <row r="3" spans="1:3" x14ac:dyDescent="0.25">
      <c r="A3" t="s">
        <v>1562</v>
      </c>
    </row>
    <row r="4" spans="1:3" x14ac:dyDescent="0.25">
      <c r="A4" s="5">
        <v>2.6265306122448981</v>
      </c>
    </row>
    <row r="6" spans="1:3" x14ac:dyDescent="0.25">
      <c r="A6" t="s">
        <v>1563</v>
      </c>
      <c r="B6" s="5">
        <f>GETPIVOTDATA("Job Satisfaction",$A$3)</f>
        <v>2.6265306122448981</v>
      </c>
      <c r="C6" s="4">
        <f>B6/4</f>
        <v>0.65663265306122454</v>
      </c>
    </row>
    <row r="7" spans="1:3" x14ac:dyDescent="0.25">
      <c r="A7" s="5" t="s">
        <v>1564</v>
      </c>
      <c r="B7" s="5">
        <f>4-B6</f>
        <v>1.3734693877551019</v>
      </c>
      <c r="C7" s="4">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EAC24-4CB3-1445-B5D4-2BE54CDA3CB6}">
  <dimension ref="A3:C17"/>
  <sheetViews>
    <sheetView zoomScaleNormal="100" workbookViewId="0">
      <selection activeCell="AL33" sqref="AL33"/>
    </sheetView>
  </sheetViews>
  <sheetFormatPr defaultColWidth="11" defaultRowHeight="15.75" x14ac:dyDescent="0.25"/>
  <cols>
    <col min="1" max="1" width="12.375" bestFit="1" customWidth="1"/>
    <col min="2" max="2" width="25" bestFit="1" customWidth="1"/>
    <col min="3" max="3" width="12.125" bestFit="1" customWidth="1"/>
    <col min="4" max="7" width="2.125" bestFit="1" customWidth="1"/>
    <col min="8" max="77" width="3.125" bestFit="1" customWidth="1"/>
    <col min="78" max="718" width="4.125" bestFit="1" customWidth="1"/>
    <col min="719" max="1471" width="5.125" bestFit="1" customWidth="1"/>
  </cols>
  <sheetData>
    <row r="3" spans="1:3" x14ac:dyDescent="0.25">
      <c r="A3" s="7" t="s">
        <v>1565</v>
      </c>
      <c r="B3" t="s">
        <v>1554</v>
      </c>
    </row>
    <row r="4" spans="1:3" x14ac:dyDescent="0.25">
      <c r="A4" s="8" t="s">
        <v>51</v>
      </c>
      <c r="B4" s="1">
        <v>588</v>
      </c>
    </row>
    <row r="5" spans="1:3" x14ac:dyDescent="0.25">
      <c r="A5" s="8" t="s">
        <v>62</v>
      </c>
      <c r="B5" s="1">
        <v>882</v>
      </c>
    </row>
    <row r="6" spans="1:3" x14ac:dyDescent="0.25">
      <c r="A6" s="8" t="s">
        <v>1566</v>
      </c>
      <c r="B6" s="1">
        <v>1470</v>
      </c>
    </row>
    <row r="11" spans="1:3" x14ac:dyDescent="0.25">
      <c r="A11" t="s">
        <v>51</v>
      </c>
      <c r="B11">
        <f>IFERROR(GETPIVOTDATA("Employee Number",$A$3,"Gender","Female"),0)</f>
        <v>588</v>
      </c>
      <c r="C11" s="3">
        <f>IFERROR(B11/($B$11+$B$12),0)</f>
        <v>0.4</v>
      </c>
    </row>
    <row r="12" spans="1:3" x14ac:dyDescent="0.25">
      <c r="A12" t="s">
        <v>62</v>
      </c>
      <c r="B12">
        <f>IFERROR(GETPIVOTDATA("Employee Number",$A$3,"Gender","Male"),0)</f>
        <v>882</v>
      </c>
      <c r="C12" s="3">
        <f>IFERROR(B12/($B$11+$B$12),0)</f>
        <v>0.6</v>
      </c>
    </row>
    <row r="13" spans="1:3" x14ac:dyDescent="0.25">
      <c r="C13" s="4"/>
    </row>
    <row r="16" spans="1:3" x14ac:dyDescent="0.25">
      <c r="C16" s="4"/>
    </row>
    <row r="17" spans="3:3" x14ac:dyDescent="0.25">
      <c r="C17"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D5AE9-F2EE-D64D-AC19-762577B5795D}">
  <dimension ref="A3:B9"/>
  <sheetViews>
    <sheetView topLeftCell="C1" workbookViewId="0">
      <selection activeCell="N32" sqref="N32"/>
    </sheetView>
  </sheetViews>
  <sheetFormatPr defaultColWidth="11" defaultRowHeight="15.75" x14ac:dyDescent="0.25"/>
  <cols>
    <col min="1" max="1" width="16.125" bestFit="1" customWidth="1"/>
    <col min="2" max="2" width="23.375" bestFit="1" customWidth="1"/>
    <col min="3" max="3" width="22.5" bestFit="1" customWidth="1"/>
  </cols>
  <sheetData>
    <row r="3" spans="1:2" x14ac:dyDescent="0.25">
      <c r="A3" s="7" t="s">
        <v>1565</v>
      </c>
      <c r="B3" t="s">
        <v>1555</v>
      </c>
    </row>
    <row r="4" spans="1:2" x14ac:dyDescent="0.25">
      <c r="A4" s="8" t="s">
        <v>134</v>
      </c>
      <c r="B4" s="1">
        <v>5</v>
      </c>
    </row>
    <row r="5" spans="1:2" x14ac:dyDescent="0.25">
      <c r="A5" s="8" t="s">
        <v>65</v>
      </c>
      <c r="B5" s="1">
        <v>31</v>
      </c>
    </row>
    <row r="6" spans="1:2" x14ac:dyDescent="0.25">
      <c r="A6" s="8" t="s">
        <v>55</v>
      </c>
      <c r="B6" s="1">
        <v>44</v>
      </c>
    </row>
    <row r="7" spans="1:2" x14ac:dyDescent="0.25">
      <c r="A7" s="8" t="s">
        <v>71</v>
      </c>
      <c r="B7" s="1">
        <v>58</v>
      </c>
    </row>
    <row r="8" spans="1:2" x14ac:dyDescent="0.25">
      <c r="A8" s="8" t="s">
        <v>77</v>
      </c>
      <c r="B8" s="1">
        <v>99</v>
      </c>
    </row>
    <row r="9" spans="1:2" x14ac:dyDescent="0.25">
      <c r="A9" s="8" t="s">
        <v>1566</v>
      </c>
      <c r="B9" s="1">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5AF00-B912-6F4C-8392-B6F8FBFD21FB}">
  <dimension ref="A3:F13"/>
  <sheetViews>
    <sheetView workbookViewId="0">
      <selection activeCell="B4" sqref="B4"/>
    </sheetView>
  </sheetViews>
  <sheetFormatPr defaultColWidth="11" defaultRowHeight="15.75" x14ac:dyDescent="0.25"/>
  <cols>
    <col min="1" max="1" width="22.875" bestFit="1" customWidth="1"/>
    <col min="2" max="2" width="24.75" bestFit="1" customWidth="1"/>
    <col min="5" max="5" width="23.125" bestFit="1" customWidth="1"/>
  </cols>
  <sheetData>
    <row r="3" spans="1:6" x14ac:dyDescent="0.25">
      <c r="A3" s="7" t="s">
        <v>1565</v>
      </c>
      <c r="B3" t="s">
        <v>1567</v>
      </c>
      <c r="E3" t="s">
        <v>9</v>
      </c>
      <c r="F3" t="s">
        <v>0</v>
      </c>
    </row>
    <row r="4" spans="1:6" x14ac:dyDescent="0.25">
      <c r="A4" s="8" t="s">
        <v>83</v>
      </c>
      <c r="B4" s="1">
        <v>131</v>
      </c>
      <c r="E4" t="str">
        <f>A4</f>
        <v>Healthcare Representative</v>
      </c>
      <c r="F4">
        <f>GETPIVOTDATA("CF_attrition count",$A$3,"Job Role","Healthcare Representative")</f>
        <v>131</v>
      </c>
    </row>
    <row r="5" spans="1:6" x14ac:dyDescent="0.25">
      <c r="A5" s="8" t="s">
        <v>163</v>
      </c>
      <c r="B5" s="1">
        <v>52</v>
      </c>
      <c r="E5" t="str">
        <f t="shared" ref="E5:E12" si="0">A5</f>
        <v>Human Resources</v>
      </c>
      <c r="F5">
        <f>GETPIVOTDATA("CF_attrition count",$A$3,"Job Role","Human Resources")</f>
        <v>52</v>
      </c>
    </row>
    <row r="6" spans="1:6" x14ac:dyDescent="0.25">
      <c r="A6" s="8" t="s">
        <v>68</v>
      </c>
      <c r="B6" s="1">
        <v>259</v>
      </c>
      <c r="E6" t="str">
        <f t="shared" si="0"/>
        <v>Laboratory Technician</v>
      </c>
      <c r="F6">
        <f>GETPIVOTDATA("CF_attrition count",$A$3,"Job Role","Laboratory Technician")</f>
        <v>259</v>
      </c>
    </row>
    <row r="7" spans="1:6" x14ac:dyDescent="0.25">
      <c r="A7" s="8" t="s">
        <v>95</v>
      </c>
      <c r="B7" s="1">
        <v>102</v>
      </c>
      <c r="E7" t="str">
        <f t="shared" si="0"/>
        <v>Manager</v>
      </c>
      <c r="F7">
        <f>GETPIVOTDATA("CF_attrition count",$A$3,"Job Role","Manager")</f>
        <v>102</v>
      </c>
    </row>
    <row r="8" spans="1:6" x14ac:dyDescent="0.25">
      <c r="A8" s="8" t="s">
        <v>81</v>
      </c>
      <c r="B8" s="1">
        <v>145</v>
      </c>
      <c r="E8" t="str">
        <f t="shared" si="0"/>
        <v>Manufacturing Director</v>
      </c>
      <c r="F8">
        <f>GETPIVOTDATA("CF_attrition count",$A$3,"Job Role","Manufacturing Director")</f>
        <v>145</v>
      </c>
    </row>
    <row r="9" spans="1:6" x14ac:dyDescent="0.25">
      <c r="A9" s="8" t="s">
        <v>101</v>
      </c>
      <c r="B9" s="1">
        <v>80</v>
      </c>
      <c r="E9" t="str">
        <f t="shared" si="0"/>
        <v>Research Director</v>
      </c>
      <c r="F9">
        <f>GETPIVOTDATA("CF_attrition count",$A$3,"Job Role","Research Director")</f>
        <v>80</v>
      </c>
    </row>
    <row r="10" spans="1:6" x14ac:dyDescent="0.25">
      <c r="A10" s="8" t="s">
        <v>63</v>
      </c>
      <c r="B10" s="1">
        <v>292</v>
      </c>
      <c r="E10" t="str">
        <f t="shared" si="0"/>
        <v>Research Scientist</v>
      </c>
      <c r="F10">
        <f>GETPIVOTDATA("CF_attrition count",$A$3,"Job Role","Research Scientist")</f>
        <v>292</v>
      </c>
    </row>
    <row r="11" spans="1:6" x14ac:dyDescent="0.25">
      <c r="A11" s="8" t="s">
        <v>52</v>
      </c>
      <c r="B11" s="1">
        <v>326</v>
      </c>
      <c r="E11" t="str">
        <f t="shared" si="0"/>
        <v>Sales Executive</v>
      </c>
      <c r="F11">
        <f>GETPIVOTDATA("CF_attrition count",$A$3,"Job Role","Sales Executive")</f>
        <v>326</v>
      </c>
    </row>
    <row r="12" spans="1:6" x14ac:dyDescent="0.25">
      <c r="A12" s="8" t="s">
        <v>99</v>
      </c>
      <c r="B12" s="1">
        <v>83</v>
      </c>
      <c r="E12" t="str">
        <f t="shared" si="0"/>
        <v>Sales Representative</v>
      </c>
      <c r="F12">
        <f>GETPIVOTDATA("CF_attrition count",$A$3,"Job Role","Sales Representative")</f>
        <v>83</v>
      </c>
    </row>
    <row r="13" spans="1:6" x14ac:dyDescent="0.25">
      <c r="A13" s="8" t="s">
        <v>1566</v>
      </c>
      <c r="B13" s="1">
        <v>1470</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A3CEE-CFED-E34D-BC8F-89FC3EB64D32}">
  <dimension ref="A3:F7"/>
  <sheetViews>
    <sheetView workbookViewId="0">
      <selection activeCell="A5" sqref="A5"/>
    </sheetView>
  </sheetViews>
  <sheetFormatPr defaultColWidth="11" defaultRowHeight="15.75" x14ac:dyDescent="0.25"/>
  <cols>
    <col min="1" max="1" width="12.375" bestFit="1" customWidth="1"/>
    <col min="2" max="2" width="23.375" bestFit="1" customWidth="1"/>
    <col min="4" max="4" width="11" bestFit="1" customWidth="1"/>
  </cols>
  <sheetData>
    <row r="3" spans="1:6" x14ac:dyDescent="0.25">
      <c r="A3" s="7" t="s">
        <v>1565</v>
      </c>
      <c r="B3" t="s">
        <v>1555</v>
      </c>
      <c r="D3" t="s">
        <v>4</v>
      </c>
      <c r="E3" t="s">
        <v>0</v>
      </c>
      <c r="F3" t="s">
        <v>1568</v>
      </c>
    </row>
    <row r="4" spans="1:6" x14ac:dyDescent="0.25">
      <c r="A4" s="8" t="s">
        <v>161</v>
      </c>
      <c r="B4" s="1">
        <v>12</v>
      </c>
      <c r="D4" t="str">
        <f>A4</f>
        <v>HR</v>
      </c>
      <c r="E4">
        <f>GETPIVOTDATA("CF_attrition count",$A$3,"Department",A4)</f>
        <v>12</v>
      </c>
      <c r="F4" s="4">
        <f>E4/GETPIVOTDATA("CF_attrition count",$A$3)</f>
        <v>5.0632911392405063E-2</v>
      </c>
    </row>
    <row r="5" spans="1:6" x14ac:dyDescent="0.25">
      <c r="A5" s="8" t="s">
        <v>60</v>
      </c>
      <c r="B5" s="1">
        <v>133</v>
      </c>
      <c r="D5" t="str">
        <f t="shared" ref="D5:D6" si="0">A5</f>
        <v>R&amp;D</v>
      </c>
      <c r="E5">
        <f t="shared" ref="E5:E6" si="1">GETPIVOTDATA("CF_attrition count",$A$3,"Department",A5)</f>
        <v>133</v>
      </c>
      <c r="F5" s="4">
        <f>E5/GETPIVOTDATA("CF_attrition count",$A$3)</f>
        <v>0.56118143459915615</v>
      </c>
    </row>
    <row r="6" spans="1:6" x14ac:dyDescent="0.25">
      <c r="A6" s="8" t="s">
        <v>48</v>
      </c>
      <c r="B6" s="1">
        <v>92</v>
      </c>
      <c r="D6" t="str">
        <f t="shared" si="0"/>
        <v>Sales</v>
      </c>
      <c r="E6">
        <f t="shared" si="1"/>
        <v>92</v>
      </c>
      <c r="F6" s="4">
        <f>E6/GETPIVOTDATA("CF_attrition count",$A$3)</f>
        <v>0.3881856540084388</v>
      </c>
    </row>
    <row r="7" spans="1:6" x14ac:dyDescent="0.25">
      <c r="A7" s="8" t="s">
        <v>1566</v>
      </c>
      <c r="B7" s="1">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9A398-D1DE-0448-907B-7C29D22BCD20}">
  <dimension ref="A3:B9"/>
  <sheetViews>
    <sheetView workbookViewId="0">
      <selection activeCell="K18" sqref="K18"/>
    </sheetView>
  </sheetViews>
  <sheetFormatPr defaultColWidth="11" defaultRowHeight="15.75" x14ac:dyDescent="0.25"/>
  <cols>
    <col min="1" max="1" width="12.375" bestFit="1" customWidth="1"/>
    <col min="2" max="2" width="24.75" bestFit="1" customWidth="1"/>
    <col min="3" max="3" width="19.125" bestFit="1" customWidth="1"/>
  </cols>
  <sheetData>
    <row r="3" spans="1:2" x14ac:dyDescent="0.25">
      <c r="A3" s="7" t="s">
        <v>1565</v>
      </c>
      <c r="B3" t="s">
        <v>1567</v>
      </c>
    </row>
    <row r="4" spans="1:2" x14ac:dyDescent="0.25">
      <c r="A4" s="8" t="s">
        <v>69</v>
      </c>
      <c r="B4" s="1">
        <v>554</v>
      </c>
    </row>
    <row r="5" spans="1:2" x14ac:dyDescent="0.25">
      <c r="A5" s="8" t="s">
        <v>46</v>
      </c>
      <c r="B5" s="1">
        <v>505</v>
      </c>
    </row>
    <row r="6" spans="1:2" x14ac:dyDescent="0.25">
      <c r="A6" s="8" t="s">
        <v>58</v>
      </c>
      <c r="B6" s="1">
        <v>245</v>
      </c>
    </row>
    <row r="7" spans="1:2" x14ac:dyDescent="0.25">
      <c r="A7" s="8" t="s">
        <v>92</v>
      </c>
      <c r="B7" s="1">
        <v>97</v>
      </c>
    </row>
    <row r="8" spans="1:2" x14ac:dyDescent="0.25">
      <c r="A8" s="8" t="s">
        <v>75</v>
      </c>
      <c r="B8" s="1">
        <v>69</v>
      </c>
    </row>
    <row r="9" spans="1:2" x14ac:dyDescent="0.25">
      <c r="A9" s="8" t="s">
        <v>1566</v>
      </c>
      <c r="B9" s="1">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988A5-E120-C848-B62B-E1A27D8E8D4F}">
  <dimension ref="A3:E7"/>
  <sheetViews>
    <sheetView workbookViewId="0">
      <selection activeCell="N12" sqref="N12"/>
    </sheetView>
  </sheetViews>
  <sheetFormatPr defaultColWidth="11" defaultRowHeight="15.75" x14ac:dyDescent="0.25"/>
  <cols>
    <col min="1" max="1" width="12.375" bestFit="1" customWidth="1"/>
    <col min="2" max="2" width="24.75" bestFit="1" customWidth="1"/>
    <col min="4" max="4" width="12.875" bestFit="1" customWidth="1"/>
  </cols>
  <sheetData>
    <row r="3" spans="1:5" x14ac:dyDescent="0.25">
      <c r="A3" s="7" t="s">
        <v>1565</v>
      </c>
      <c r="B3" t="s">
        <v>1567</v>
      </c>
      <c r="D3" t="s">
        <v>10</v>
      </c>
      <c r="E3" t="s">
        <v>0</v>
      </c>
    </row>
    <row r="4" spans="1:5" x14ac:dyDescent="0.25">
      <c r="A4" s="8" t="s">
        <v>79</v>
      </c>
      <c r="B4" s="1">
        <v>327</v>
      </c>
      <c r="D4" t="str">
        <f>A4</f>
        <v>Divorced</v>
      </c>
      <c r="E4">
        <f>GETPIVOTDATA("CF_attrition count",$A$3,"Marital Status",A4)</f>
        <v>327</v>
      </c>
    </row>
    <row r="5" spans="1:5" x14ac:dyDescent="0.25">
      <c r="A5" s="8" t="s">
        <v>53</v>
      </c>
      <c r="B5" s="1">
        <v>470</v>
      </c>
      <c r="D5" t="str">
        <f t="shared" ref="D5:D6" si="0">A5</f>
        <v>Single</v>
      </c>
      <c r="E5">
        <f t="shared" ref="E5:E6" si="1">GETPIVOTDATA("CF_attrition count",$A$3,"Marital Status",A5)</f>
        <v>470</v>
      </c>
    </row>
    <row r="6" spans="1:5" x14ac:dyDescent="0.25">
      <c r="A6" s="8" t="s">
        <v>64</v>
      </c>
      <c r="B6" s="1">
        <v>673</v>
      </c>
      <c r="D6" t="str">
        <f t="shared" si="0"/>
        <v>Married</v>
      </c>
      <c r="E6">
        <f t="shared" si="1"/>
        <v>673</v>
      </c>
    </row>
    <row r="7" spans="1:5" x14ac:dyDescent="0.25">
      <c r="A7" s="8" t="s">
        <v>1566</v>
      </c>
      <c r="B7" s="1">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3A89D-3C3F-764A-958B-E355F58B34C9}">
  <dimension ref="A1:X50"/>
  <sheetViews>
    <sheetView showGridLines="0" topLeftCell="K1" zoomScaleNormal="100" workbookViewId="0">
      <selection activeCell="X52" sqref="X52"/>
    </sheetView>
  </sheetViews>
  <sheetFormatPr defaultColWidth="11" defaultRowHeight="15.75" x14ac:dyDescent="0.25"/>
  <sheetData>
    <row r="1" spans="1:24" x14ac:dyDescent="0.25">
      <c r="A1" s="6"/>
      <c r="B1" s="6"/>
      <c r="C1" s="6"/>
      <c r="D1" s="6"/>
      <c r="E1" s="6"/>
      <c r="F1" s="6"/>
      <c r="G1" s="6"/>
      <c r="H1" s="6"/>
      <c r="I1" s="6"/>
      <c r="J1" s="6"/>
      <c r="K1" s="6"/>
      <c r="L1" s="6"/>
      <c r="M1" s="6"/>
      <c r="N1" s="6"/>
      <c r="O1" s="6"/>
      <c r="P1" s="6"/>
      <c r="Q1" s="6"/>
      <c r="R1" s="6"/>
      <c r="S1" s="6"/>
      <c r="T1" s="6"/>
      <c r="U1" s="6"/>
      <c r="V1" s="6"/>
      <c r="W1" s="6"/>
      <c r="X1" s="6"/>
    </row>
    <row r="2" spans="1:24" x14ac:dyDescent="0.25">
      <c r="A2" s="6"/>
      <c r="B2" s="6"/>
      <c r="C2" s="6"/>
      <c r="D2" s="6"/>
      <c r="E2" s="6"/>
      <c r="F2" s="6"/>
      <c r="G2" s="6"/>
      <c r="H2" s="6"/>
      <c r="I2" s="6"/>
      <c r="J2" s="6"/>
      <c r="K2" s="6"/>
      <c r="L2" s="6"/>
      <c r="M2" s="6"/>
      <c r="N2" s="6"/>
      <c r="O2" s="6"/>
      <c r="P2" s="6"/>
      <c r="Q2" s="6"/>
      <c r="R2" s="6"/>
      <c r="S2" s="6"/>
      <c r="T2" s="6"/>
      <c r="U2" s="6"/>
      <c r="V2" s="6"/>
      <c r="W2" s="6"/>
      <c r="X2" s="6"/>
    </row>
    <row r="3" spans="1:24" x14ac:dyDescent="0.25">
      <c r="A3" s="6"/>
      <c r="B3" s="6"/>
      <c r="C3" s="6"/>
      <c r="D3" s="6"/>
      <c r="E3" s="6"/>
      <c r="F3" s="6"/>
      <c r="G3" s="6"/>
      <c r="H3" s="6"/>
      <c r="I3" s="6"/>
      <c r="J3" s="6"/>
      <c r="K3" s="6"/>
      <c r="L3" s="6"/>
      <c r="M3" s="6"/>
      <c r="N3" s="6"/>
      <c r="O3" s="6"/>
      <c r="P3" s="6"/>
      <c r="Q3" s="6"/>
      <c r="R3" s="6"/>
      <c r="S3" s="6"/>
      <c r="T3" s="6"/>
      <c r="U3" s="6"/>
      <c r="V3" s="6"/>
      <c r="W3" s="6"/>
      <c r="X3" s="6"/>
    </row>
    <row r="4" spans="1:24" x14ac:dyDescent="0.25">
      <c r="A4" s="6"/>
      <c r="B4" s="6"/>
      <c r="C4" s="6"/>
      <c r="D4" s="6"/>
      <c r="E4" s="6"/>
      <c r="F4" s="6"/>
      <c r="G4" s="6"/>
      <c r="H4" s="6"/>
      <c r="I4" s="6"/>
      <c r="J4" s="6"/>
      <c r="K4" s="6"/>
      <c r="L4" s="6"/>
      <c r="M4" s="6"/>
      <c r="N4" s="6"/>
      <c r="O4" s="6"/>
      <c r="P4" s="6"/>
      <c r="Q4" s="6"/>
      <c r="R4" s="6"/>
      <c r="S4" s="6"/>
      <c r="T4" s="6"/>
      <c r="U4" s="6"/>
      <c r="V4" s="6"/>
      <c r="W4" s="6"/>
      <c r="X4" s="6"/>
    </row>
    <row r="5" spans="1:24" x14ac:dyDescent="0.25">
      <c r="A5" s="6"/>
      <c r="B5" s="6"/>
      <c r="C5" s="6"/>
      <c r="D5" s="6"/>
      <c r="E5" s="6"/>
      <c r="F5" s="6"/>
      <c r="G5" s="6"/>
      <c r="H5" s="6"/>
      <c r="I5" s="6"/>
      <c r="J5" s="6"/>
      <c r="K5" s="6"/>
      <c r="L5" s="6"/>
      <c r="M5" s="6"/>
      <c r="N5" s="6"/>
      <c r="O5" s="6"/>
      <c r="P5" s="6"/>
      <c r="Q5" s="6"/>
      <c r="R5" s="6"/>
      <c r="S5" s="6"/>
      <c r="T5" s="6"/>
      <c r="U5" s="6"/>
      <c r="V5" s="6"/>
      <c r="W5" s="6"/>
      <c r="X5" s="6"/>
    </row>
    <row r="6" spans="1:24" x14ac:dyDescent="0.25">
      <c r="A6" s="6"/>
      <c r="B6" s="6"/>
      <c r="C6" s="6"/>
      <c r="D6" s="6"/>
      <c r="E6" s="6"/>
      <c r="F6" s="6"/>
      <c r="G6" s="6"/>
      <c r="H6" s="6"/>
      <c r="I6" s="6"/>
      <c r="J6" s="6"/>
      <c r="K6" s="6"/>
      <c r="L6" s="6"/>
      <c r="M6" s="6"/>
      <c r="N6" s="6"/>
      <c r="O6" s="6"/>
      <c r="P6" s="6"/>
      <c r="Q6" s="6"/>
      <c r="R6" s="6"/>
      <c r="S6" s="6"/>
      <c r="T6" s="6"/>
      <c r="U6" s="6"/>
      <c r="V6" s="6"/>
      <c r="W6" s="6"/>
      <c r="X6" s="6"/>
    </row>
    <row r="7" spans="1:24" x14ac:dyDescent="0.25">
      <c r="A7" s="6"/>
      <c r="B7" s="6"/>
      <c r="C7" s="6"/>
      <c r="D7" s="6"/>
      <c r="E7" s="6"/>
      <c r="F7" s="6"/>
      <c r="G7" s="6"/>
      <c r="H7" s="6"/>
      <c r="I7" s="6"/>
      <c r="J7" s="6"/>
      <c r="K7" s="6"/>
      <c r="L7" s="6"/>
      <c r="M7" s="6"/>
      <c r="N7" s="6"/>
      <c r="O7" s="6"/>
      <c r="P7" s="6"/>
      <c r="Q7" s="6"/>
      <c r="R7" s="6"/>
      <c r="S7" s="6"/>
      <c r="T7" s="6"/>
      <c r="U7" s="6"/>
      <c r="V7" s="6"/>
      <c r="W7" s="6"/>
      <c r="X7" s="6"/>
    </row>
    <row r="8" spans="1:24" x14ac:dyDescent="0.25">
      <c r="A8" s="6"/>
      <c r="B8" s="6"/>
      <c r="C8" s="6"/>
      <c r="D8" s="6"/>
      <c r="E8" s="6"/>
      <c r="F8" s="6"/>
      <c r="G8" s="6"/>
      <c r="H8" s="6"/>
      <c r="I8" s="6"/>
      <c r="J8" s="6"/>
      <c r="K8" s="6"/>
      <c r="L8" s="6"/>
      <c r="M8" s="6"/>
      <c r="N8" s="6"/>
      <c r="O8" s="6"/>
      <c r="P8" s="6"/>
      <c r="Q8" s="6"/>
      <c r="R8" s="6"/>
      <c r="S8" s="6"/>
      <c r="T8" s="6"/>
      <c r="U8" s="6"/>
      <c r="V8" s="6"/>
      <c r="W8" s="6"/>
      <c r="X8" s="6"/>
    </row>
    <row r="9" spans="1:24" x14ac:dyDescent="0.25">
      <c r="A9" s="6"/>
      <c r="B9" s="6"/>
      <c r="C9" s="6"/>
      <c r="D9" s="6"/>
      <c r="E9" s="6"/>
      <c r="F9" s="6"/>
      <c r="G9" s="6"/>
      <c r="H9" s="6"/>
      <c r="I9" s="6"/>
      <c r="J9" s="6"/>
      <c r="K9" s="6"/>
      <c r="L9" s="6"/>
      <c r="M9" s="6"/>
      <c r="N9" s="6"/>
      <c r="O9" s="6"/>
      <c r="P9" s="6"/>
      <c r="Q9" s="6"/>
      <c r="R9" s="6"/>
      <c r="S9" s="6"/>
      <c r="T9" s="6"/>
      <c r="U9" s="6"/>
      <c r="V9" s="6"/>
      <c r="W9" s="6"/>
      <c r="X9" s="6"/>
    </row>
    <row r="10" spans="1:24" x14ac:dyDescent="0.25">
      <c r="A10" s="6"/>
      <c r="B10" s="6"/>
      <c r="C10" s="6"/>
      <c r="D10" s="6"/>
      <c r="E10" s="6"/>
      <c r="F10" s="6"/>
      <c r="G10" s="6"/>
      <c r="H10" s="6"/>
      <c r="I10" s="6"/>
      <c r="J10" s="6"/>
      <c r="K10" s="6"/>
      <c r="L10" s="6"/>
      <c r="M10" s="6"/>
      <c r="N10" s="6"/>
      <c r="O10" s="6"/>
      <c r="P10" s="6"/>
      <c r="Q10" s="6"/>
      <c r="R10" s="6"/>
      <c r="S10" s="6"/>
      <c r="T10" s="6"/>
      <c r="U10" s="6"/>
      <c r="V10" s="6"/>
      <c r="W10" s="6"/>
      <c r="X10" s="6"/>
    </row>
    <row r="11" spans="1:24" x14ac:dyDescent="0.25">
      <c r="A11" s="6"/>
      <c r="B11" s="6"/>
      <c r="C11" s="6"/>
      <c r="D11" s="6"/>
      <c r="E11" s="6"/>
      <c r="F11" s="6"/>
      <c r="G11" s="6"/>
      <c r="H11" s="6"/>
      <c r="I11" s="6"/>
      <c r="J11" s="6"/>
      <c r="K11" s="6"/>
      <c r="L11" s="6"/>
      <c r="M11" s="6"/>
      <c r="N11" s="6"/>
      <c r="O11" s="6"/>
      <c r="P11" s="6"/>
      <c r="Q11" s="6"/>
      <c r="R11" s="6"/>
      <c r="S11" s="6"/>
      <c r="T11" s="6"/>
      <c r="U11" s="6"/>
      <c r="V11" s="6"/>
      <c r="W11" s="6"/>
      <c r="X11" s="6"/>
    </row>
    <row r="12" spans="1:24" x14ac:dyDescent="0.25">
      <c r="A12" s="6"/>
      <c r="B12" s="6"/>
      <c r="C12" s="6"/>
      <c r="D12" s="6"/>
      <c r="E12" s="6"/>
      <c r="F12" s="6"/>
      <c r="G12" s="6"/>
      <c r="H12" s="6"/>
      <c r="I12" s="6"/>
      <c r="J12" s="6"/>
      <c r="K12" s="6"/>
      <c r="L12" s="6"/>
      <c r="M12" s="6"/>
      <c r="N12" s="6"/>
      <c r="O12" s="6"/>
      <c r="P12" s="6"/>
      <c r="Q12" s="6"/>
      <c r="R12" s="6"/>
      <c r="S12" s="6"/>
      <c r="T12" s="6"/>
      <c r="U12" s="6"/>
      <c r="V12" s="6"/>
      <c r="W12" s="6"/>
      <c r="X12" s="6"/>
    </row>
    <row r="13" spans="1:24" x14ac:dyDescent="0.25">
      <c r="A13" s="6"/>
      <c r="B13" s="6"/>
      <c r="C13" s="6"/>
      <c r="D13" s="6"/>
      <c r="E13" s="6"/>
      <c r="F13" s="6"/>
      <c r="G13" s="6"/>
      <c r="H13" s="6"/>
      <c r="I13" s="6"/>
      <c r="J13" s="6"/>
      <c r="K13" s="6"/>
      <c r="L13" s="6"/>
      <c r="M13" s="6"/>
      <c r="N13" s="6"/>
      <c r="O13" s="6"/>
      <c r="P13" s="6"/>
      <c r="Q13" s="6"/>
      <c r="R13" s="6"/>
      <c r="S13" s="6"/>
      <c r="T13" s="6"/>
      <c r="U13" s="6"/>
      <c r="V13" s="6"/>
      <c r="W13" s="6"/>
      <c r="X13" s="6"/>
    </row>
    <row r="14" spans="1:24" x14ac:dyDescent="0.25">
      <c r="A14" s="6"/>
      <c r="B14" s="6"/>
      <c r="C14" s="6"/>
      <c r="D14" s="6"/>
      <c r="E14" s="6"/>
      <c r="F14" s="6"/>
      <c r="G14" s="6"/>
      <c r="H14" s="6"/>
      <c r="I14" s="6"/>
      <c r="J14" s="6"/>
      <c r="K14" s="6"/>
      <c r="L14" s="6"/>
      <c r="M14" s="6"/>
      <c r="N14" s="6"/>
      <c r="O14" s="6"/>
      <c r="P14" s="6"/>
      <c r="Q14" s="6"/>
      <c r="R14" s="6"/>
      <c r="S14" s="6"/>
      <c r="T14" s="6"/>
      <c r="U14" s="6"/>
      <c r="V14" s="6"/>
      <c r="W14" s="6"/>
      <c r="X14" s="6"/>
    </row>
    <row r="15" spans="1:24" x14ac:dyDescent="0.25">
      <c r="A15" s="6"/>
      <c r="B15" s="6"/>
      <c r="C15" s="6"/>
      <c r="D15" s="6"/>
      <c r="E15" s="6"/>
      <c r="F15" s="6"/>
      <c r="G15" s="6"/>
      <c r="H15" s="6"/>
      <c r="I15" s="6"/>
      <c r="J15" s="6"/>
      <c r="K15" s="6"/>
      <c r="L15" s="6"/>
      <c r="M15" s="6"/>
      <c r="N15" s="6"/>
      <c r="O15" s="6"/>
      <c r="P15" s="6"/>
      <c r="Q15" s="6"/>
      <c r="R15" s="6"/>
      <c r="S15" s="6"/>
      <c r="T15" s="6"/>
      <c r="U15" s="6"/>
      <c r="V15" s="6"/>
      <c r="W15" s="6"/>
      <c r="X15" s="6"/>
    </row>
    <row r="16" spans="1:24" x14ac:dyDescent="0.25">
      <c r="A16" s="6"/>
      <c r="B16" s="6"/>
      <c r="C16" s="6"/>
      <c r="D16" s="6"/>
      <c r="E16" s="6"/>
      <c r="F16" s="6"/>
      <c r="G16" s="6"/>
      <c r="H16" s="6"/>
      <c r="I16" s="6"/>
      <c r="J16" s="6"/>
      <c r="K16" s="6"/>
      <c r="L16" s="6"/>
      <c r="M16" s="6"/>
      <c r="N16" s="6"/>
      <c r="O16" s="6"/>
      <c r="P16" s="6"/>
      <c r="Q16" s="6"/>
      <c r="R16" s="6"/>
      <c r="S16" s="6"/>
      <c r="T16" s="6"/>
      <c r="U16" s="6"/>
      <c r="V16" s="6"/>
      <c r="W16" s="6"/>
      <c r="X16" s="6"/>
    </row>
    <row r="17" spans="1:24" x14ac:dyDescent="0.25">
      <c r="A17" s="6"/>
      <c r="B17" s="6"/>
      <c r="C17" s="6"/>
      <c r="D17" s="6"/>
      <c r="E17" s="6"/>
      <c r="F17" s="6"/>
      <c r="G17" s="6"/>
      <c r="H17" s="6"/>
      <c r="I17" s="6"/>
      <c r="J17" s="6"/>
      <c r="K17" s="6"/>
      <c r="L17" s="6"/>
      <c r="M17" s="6"/>
      <c r="N17" s="6"/>
      <c r="O17" s="6"/>
      <c r="P17" s="6"/>
      <c r="Q17" s="6"/>
      <c r="R17" s="6"/>
      <c r="S17" s="6"/>
      <c r="T17" s="6"/>
      <c r="U17" s="6"/>
      <c r="V17" s="6"/>
      <c r="W17" s="6"/>
      <c r="X17" s="6"/>
    </row>
    <row r="18" spans="1:24" x14ac:dyDescent="0.25">
      <c r="A18" s="6"/>
      <c r="B18" s="6"/>
      <c r="C18" s="6"/>
      <c r="D18" s="6"/>
      <c r="E18" s="6"/>
      <c r="F18" s="6"/>
      <c r="G18" s="6"/>
      <c r="H18" s="6"/>
      <c r="I18" s="6"/>
      <c r="J18" s="6"/>
      <c r="K18" s="6"/>
      <c r="L18" s="6"/>
      <c r="M18" s="6"/>
      <c r="N18" s="6"/>
      <c r="O18" s="6"/>
      <c r="P18" s="6"/>
      <c r="Q18" s="6"/>
      <c r="R18" s="6"/>
      <c r="S18" s="6"/>
      <c r="T18" s="6"/>
      <c r="U18" s="6"/>
      <c r="V18" s="6"/>
      <c r="W18" s="6"/>
      <c r="X18" s="6"/>
    </row>
    <row r="19" spans="1:24" x14ac:dyDescent="0.25">
      <c r="A19" s="6"/>
      <c r="B19" s="6"/>
      <c r="C19" s="6"/>
      <c r="D19" s="6"/>
      <c r="E19" s="6"/>
      <c r="F19" s="6"/>
      <c r="G19" s="6"/>
      <c r="H19" s="6"/>
      <c r="I19" s="6"/>
      <c r="J19" s="6"/>
      <c r="K19" s="6"/>
      <c r="L19" s="6"/>
      <c r="M19" s="6"/>
      <c r="N19" s="6"/>
      <c r="O19" s="6"/>
      <c r="P19" s="6"/>
      <c r="Q19" s="6"/>
      <c r="R19" s="6"/>
      <c r="S19" s="6"/>
      <c r="T19" s="6"/>
      <c r="U19" s="6"/>
      <c r="V19" s="6"/>
      <c r="W19" s="6"/>
      <c r="X19" s="6"/>
    </row>
    <row r="20" spans="1:24" x14ac:dyDescent="0.25">
      <c r="A20" s="6"/>
      <c r="B20" s="6"/>
      <c r="C20" s="6"/>
      <c r="D20" s="6"/>
      <c r="E20" s="6"/>
      <c r="F20" s="6"/>
      <c r="G20" s="6"/>
      <c r="H20" s="6"/>
      <c r="I20" s="6"/>
      <c r="J20" s="6"/>
      <c r="K20" s="6"/>
      <c r="L20" s="6"/>
      <c r="M20" s="6"/>
      <c r="N20" s="6"/>
      <c r="O20" s="6"/>
      <c r="P20" s="6"/>
      <c r="Q20" s="6"/>
      <c r="R20" s="6"/>
      <c r="S20" s="6"/>
      <c r="T20" s="6"/>
      <c r="U20" s="6"/>
      <c r="V20" s="6"/>
      <c r="W20" s="6"/>
      <c r="X20" s="6"/>
    </row>
    <row r="21" spans="1:24" x14ac:dyDescent="0.25">
      <c r="A21" s="6"/>
      <c r="B21" s="6"/>
      <c r="C21" s="6"/>
      <c r="D21" s="6"/>
      <c r="E21" s="6"/>
      <c r="F21" s="6"/>
      <c r="G21" s="6"/>
      <c r="H21" s="6"/>
      <c r="I21" s="6"/>
      <c r="J21" s="6"/>
      <c r="K21" s="6"/>
      <c r="L21" s="6"/>
      <c r="M21" s="6"/>
      <c r="N21" s="6"/>
      <c r="O21" s="6"/>
      <c r="P21" s="6"/>
      <c r="Q21" s="6"/>
      <c r="R21" s="6"/>
      <c r="S21" s="6"/>
      <c r="T21" s="6"/>
      <c r="U21" s="6"/>
      <c r="V21" s="6"/>
      <c r="W21" s="6"/>
      <c r="X21" s="6"/>
    </row>
    <row r="22" spans="1:24" x14ac:dyDescent="0.25">
      <c r="A22" s="6"/>
      <c r="B22" s="6"/>
      <c r="C22" s="6"/>
      <c r="D22" s="6"/>
      <c r="E22" s="6"/>
      <c r="F22" s="6"/>
      <c r="G22" s="6"/>
      <c r="H22" s="6"/>
      <c r="I22" s="6"/>
      <c r="J22" s="6"/>
      <c r="K22" s="6"/>
      <c r="L22" s="6"/>
      <c r="M22" s="6"/>
      <c r="N22" s="6"/>
      <c r="O22" s="6"/>
      <c r="P22" s="6"/>
      <c r="Q22" s="6"/>
      <c r="R22" s="6"/>
      <c r="S22" s="6"/>
      <c r="T22" s="6"/>
      <c r="U22" s="6"/>
      <c r="V22" s="6"/>
      <c r="W22" s="6"/>
      <c r="X22" s="6"/>
    </row>
    <row r="23" spans="1:24" x14ac:dyDescent="0.25">
      <c r="A23" s="6"/>
      <c r="B23" s="6"/>
      <c r="C23" s="6"/>
      <c r="D23" s="6"/>
      <c r="E23" s="6"/>
      <c r="F23" s="6"/>
      <c r="G23" s="6"/>
      <c r="H23" s="6"/>
      <c r="I23" s="6"/>
      <c r="J23" s="6"/>
      <c r="K23" s="6"/>
      <c r="L23" s="6"/>
      <c r="M23" s="6"/>
      <c r="N23" s="6"/>
      <c r="O23" s="6"/>
      <c r="P23" s="6"/>
      <c r="Q23" s="6"/>
      <c r="R23" s="6"/>
      <c r="S23" s="6"/>
      <c r="T23" s="6"/>
      <c r="U23" s="6"/>
      <c r="V23" s="6"/>
      <c r="W23" s="6"/>
      <c r="X23" s="6"/>
    </row>
    <row r="24" spans="1:24" x14ac:dyDescent="0.25">
      <c r="A24" s="6"/>
      <c r="B24" s="6"/>
      <c r="C24" s="6"/>
      <c r="D24" s="6"/>
      <c r="E24" s="6"/>
      <c r="F24" s="6"/>
      <c r="G24" s="6"/>
      <c r="H24" s="6"/>
      <c r="I24" s="6"/>
      <c r="J24" s="6"/>
      <c r="K24" s="6"/>
      <c r="L24" s="6"/>
      <c r="M24" s="6"/>
      <c r="N24" s="6"/>
      <c r="O24" s="6"/>
      <c r="P24" s="6"/>
      <c r="Q24" s="6"/>
      <c r="R24" s="6"/>
      <c r="S24" s="6"/>
      <c r="T24" s="6"/>
      <c r="U24" s="6"/>
      <c r="V24" s="6"/>
      <c r="W24" s="6"/>
      <c r="X24" s="6"/>
    </row>
    <row r="25" spans="1:24" x14ac:dyDescent="0.25">
      <c r="A25" s="6"/>
      <c r="B25" s="6"/>
      <c r="C25" s="6"/>
      <c r="D25" s="6"/>
      <c r="E25" s="6"/>
      <c r="F25" s="6"/>
      <c r="G25" s="6"/>
      <c r="H25" s="6"/>
      <c r="I25" s="6"/>
      <c r="J25" s="6"/>
      <c r="K25" s="6"/>
      <c r="L25" s="6"/>
      <c r="M25" s="6"/>
      <c r="N25" s="6"/>
      <c r="O25" s="6"/>
      <c r="P25" s="6"/>
      <c r="Q25" s="6"/>
      <c r="R25" s="6"/>
      <c r="S25" s="6"/>
      <c r="T25" s="6"/>
      <c r="U25" s="6"/>
      <c r="V25" s="6"/>
      <c r="W25" s="6"/>
      <c r="X25" s="6"/>
    </row>
    <row r="26" spans="1:24" x14ac:dyDescent="0.25">
      <c r="A26" s="6"/>
      <c r="B26" s="6"/>
      <c r="C26" s="6"/>
      <c r="D26" s="6"/>
      <c r="E26" s="6"/>
      <c r="F26" s="6"/>
      <c r="G26" s="6"/>
      <c r="H26" s="6"/>
      <c r="I26" s="6"/>
      <c r="J26" s="6"/>
      <c r="K26" s="6"/>
      <c r="L26" s="6"/>
      <c r="M26" s="6"/>
      <c r="N26" s="6"/>
      <c r="O26" s="6"/>
      <c r="P26" s="6"/>
      <c r="Q26" s="6"/>
      <c r="R26" s="6"/>
      <c r="S26" s="6"/>
      <c r="T26" s="6"/>
      <c r="U26" s="6"/>
      <c r="V26" s="6"/>
      <c r="W26" s="6"/>
      <c r="X26" s="6"/>
    </row>
    <row r="27" spans="1:24" x14ac:dyDescent="0.25">
      <c r="A27" s="6"/>
      <c r="B27" s="6"/>
      <c r="C27" s="6"/>
      <c r="D27" s="6"/>
      <c r="E27" s="6"/>
      <c r="F27" s="6"/>
      <c r="G27" s="6"/>
      <c r="H27" s="6"/>
      <c r="I27" s="6"/>
      <c r="J27" s="6"/>
      <c r="K27" s="6"/>
      <c r="L27" s="6"/>
      <c r="M27" s="6"/>
      <c r="N27" s="6"/>
      <c r="O27" s="6"/>
      <c r="P27" s="6"/>
      <c r="Q27" s="6"/>
      <c r="R27" s="6"/>
      <c r="S27" s="6"/>
      <c r="T27" s="6"/>
      <c r="U27" s="6"/>
      <c r="V27" s="6"/>
      <c r="W27" s="6"/>
      <c r="X27" s="6"/>
    </row>
    <row r="28" spans="1:24" x14ac:dyDescent="0.25">
      <c r="A28" s="6"/>
      <c r="B28" s="6"/>
      <c r="C28" s="6"/>
      <c r="D28" s="6"/>
      <c r="E28" s="6"/>
      <c r="F28" s="6"/>
      <c r="G28" s="6"/>
      <c r="H28" s="6"/>
      <c r="I28" s="6"/>
      <c r="J28" s="6"/>
      <c r="K28" s="6"/>
      <c r="L28" s="6"/>
      <c r="M28" s="6"/>
      <c r="N28" s="6"/>
      <c r="O28" s="6"/>
      <c r="P28" s="6"/>
      <c r="Q28" s="6"/>
      <c r="R28" s="6"/>
      <c r="S28" s="6"/>
      <c r="T28" s="6"/>
      <c r="U28" s="6"/>
      <c r="V28" s="6"/>
      <c r="W28" s="6"/>
      <c r="X28" s="6"/>
    </row>
    <row r="29" spans="1:24" x14ac:dyDescent="0.25">
      <c r="A29" s="6"/>
      <c r="B29" s="6"/>
      <c r="C29" s="6"/>
      <c r="D29" s="6"/>
      <c r="E29" s="6"/>
      <c r="F29" s="6"/>
      <c r="G29" s="6"/>
      <c r="H29" s="6"/>
      <c r="I29" s="6"/>
      <c r="J29" s="6"/>
      <c r="K29" s="6"/>
      <c r="L29" s="6"/>
      <c r="M29" s="6"/>
      <c r="N29" s="6"/>
      <c r="O29" s="6"/>
      <c r="P29" s="6"/>
      <c r="Q29" s="6"/>
      <c r="R29" s="6"/>
      <c r="S29" s="6"/>
      <c r="T29" s="6"/>
      <c r="U29" s="6"/>
      <c r="V29" s="6"/>
      <c r="W29" s="6"/>
      <c r="X29" s="6"/>
    </row>
    <row r="30" spans="1:24" x14ac:dyDescent="0.25">
      <c r="A30" s="6"/>
      <c r="B30" s="6"/>
      <c r="C30" s="6"/>
      <c r="D30" s="6"/>
      <c r="E30" s="6"/>
      <c r="F30" s="6"/>
      <c r="G30" s="6"/>
      <c r="H30" s="6"/>
      <c r="I30" s="6"/>
      <c r="J30" s="6"/>
      <c r="K30" s="6"/>
      <c r="L30" s="6"/>
      <c r="M30" s="6"/>
      <c r="N30" s="6"/>
      <c r="O30" s="6"/>
      <c r="P30" s="6"/>
      <c r="Q30" s="6"/>
      <c r="R30" s="6"/>
      <c r="S30" s="6"/>
      <c r="T30" s="6"/>
      <c r="U30" s="6"/>
      <c r="V30" s="6"/>
      <c r="W30" s="6"/>
      <c r="X30" s="6"/>
    </row>
    <row r="31" spans="1:24" x14ac:dyDescent="0.25">
      <c r="A31" s="6"/>
      <c r="B31" s="6"/>
      <c r="C31" s="6"/>
      <c r="D31" s="6"/>
      <c r="E31" s="6"/>
      <c r="F31" s="6"/>
      <c r="G31" s="6"/>
      <c r="H31" s="6"/>
      <c r="I31" s="6"/>
      <c r="J31" s="6"/>
      <c r="K31" s="6"/>
      <c r="L31" s="6"/>
      <c r="M31" s="6"/>
      <c r="N31" s="6"/>
      <c r="O31" s="6"/>
      <c r="P31" s="6"/>
      <c r="Q31" s="6"/>
      <c r="R31" s="6"/>
      <c r="S31" s="6"/>
      <c r="T31" s="6"/>
      <c r="U31" s="6"/>
      <c r="V31" s="6"/>
      <c r="W31" s="6"/>
      <c r="X31" s="6"/>
    </row>
    <row r="32" spans="1:24" x14ac:dyDescent="0.25">
      <c r="A32" s="6"/>
      <c r="B32" s="6"/>
      <c r="C32" s="6"/>
      <c r="D32" s="6"/>
      <c r="E32" s="6"/>
      <c r="F32" s="6"/>
      <c r="G32" s="6"/>
      <c r="H32" s="6"/>
      <c r="I32" s="6"/>
      <c r="J32" s="6"/>
      <c r="K32" s="6"/>
      <c r="L32" s="6"/>
      <c r="M32" s="6"/>
      <c r="N32" s="6"/>
      <c r="O32" s="6"/>
      <c r="P32" s="6"/>
      <c r="Q32" s="6"/>
      <c r="R32" s="6"/>
      <c r="S32" s="6"/>
      <c r="T32" s="6"/>
      <c r="U32" s="6"/>
      <c r="V32" s="6"/>
      <c r="W32" s="6"/>
      <c r="X32" s="6"/>
    </row>
    <row r="33" spans="1:24" x14ac:dyDescent="0.25">
      <c r="A33" s="6"/>
      <c r="B33" s="6"/>
      <c r="C33" s="6"/>
      <c r="D33" s="6"/>
      <c r="E33" s="6"/>
      <c r="F33" s="6"/>
      <c r="G33" s="6"/>
      <c r="H33" s="6"/>
      <c r="I33" s="6"/>
      <c r="J33" s="6"/>
      <c r="K33" s="6"/>
      <c r="L33" s="6"/>
      <c r="M33" s="6"/>
      <c r="N33" s="6"/>
      <c r="O33" s="6"/>
      <c r="P33" s="6"/>
      <c r="Q33" s="6"/>
      <c r="R33" s="6"/>
      <c r="S33" s="6"/>
      <c r="T33" s="6"/>
      <c r="U33" s="6"/>
      <c r="V33" s="6"/>
      <c r="W33" s="6"/>
      <c r="X33" s="6"/>
    </row>
    <row r="34" spans="1:24" x14ac:dyDescent="0.25">
      <c r="A34" s="6"/>
      <c r="B34" s="6"/>
      <c r="C34" s="6"/>
      <c r="D34" s="6"/>
      <c r="E34" s="6"/>
      <c r="F34" s="6"/>
      <c r="G34" s="6"/>
      <c r="H34" s="6"/>
      <c r="I34" s="6"/>
      <c r="J34" s="6"/>
      <c r="K34" s="6"/>
      <c r="L34" s="6"/>
      <c r="M34" s="6"/>
      <c r="N34" s="6"/>
      <c r="O34" s="6"/>
      <c r="P34" s="6"/>
      <c r="Q34" s="6"/>
      <c r="R34" s="6"/>
      <c r="S34" s="6"/>
      <c r="T34" s="6"/>
      <c r="U34" s="6"/>
      <c r="V34" s="6"/>
      <c r="W34" s="6"/>
      <c r="X34" s="6"/>
    </row>
    <row r="35" spans="1:24" x14ac:dyDescent="0.25">
      <c r="A35" s="6"/>
      <c r="B35" s="6"/>
      <c r="C35" s="6"/>
      <c r="D35" s="6"/>
      <c r="E35" s="6"/>
      <c r="F35" s="6"/>
      <c r="G35" s="6"/>
      <c r="H35" s="6"/>
      <c r="I35" s="6"/>
      <c r="J35" s="6"/>
      <c r="K35" s="6"/>
      <c r="L35" s="6"/>
      <c r="M35" s="6"/>
      <c r="N35" s="6"/>
      <c r="O35" s="6"/>
      <c r="P35" s="6"/>
      <c r="Q35" s="6"/>
      <c r="R35" s="6"/>
      <c r="S35" s="6"/>
      <c r="T35" s="6"/>
      <c r="U35" s="6"/>
      <c r="V35" s="6"/>
      <c r="W35" s="6"/>
      <c r="X35" s="6"/>
    </row>
    <row r="36" spans="1:24" x14ac:dyDescent="0.25">
      <c r="A36" s="6"/>
      <c r="B36" s="6"/>
      <c r="C36" s="6"/>
      <c r="D36" s="6"/>
      <c r="E36" s="6"/>
      <c r="F36" s="6"/>
      <c r="G36" s="6"/>
      <c r="H36" s="6"/>
      <c r="I36" s="6"/>
      <c r="J36" s="6"/>
      <c r="K36" s="6"/>
      <c r="L36" s="6"/>
      <c r="M36" s="6"/>
      <c r="N36" s="6"/>
      <c r="O36" s="6"/>
      <c r="P36" s="6"/>
      <c r="Q36" s="6"/>
      <c r="R36" s="6"/>
      <c r="S36" s="6"/>
      <c r="T36" s="6"/>
      <c r="U36" s="6"/>
      <c r="V36" s="6"/>
      <c r="W36" s="6"/>
      <c r="X36" s="6"/>
    </row>
    <row r="37" spans="1:24" x14ac:dyDescent="0.25">
      <c r="A37" s="6"/>
      <c r="B37" s="6"/>
      <c r="C37" s="6"/>
      <c r="D37" s="6"/>
      <c r="E37" s="6"/>
      <c r="F37" s="6"/>
      <c r="G37" s="6"/>
      <c r="H37" s="6"/>
      <c r="I37" s="6"/>
      <c r="J37" s="6"/>
      <c r="K37" s="6"/>
      <c r="L37" s="6"/>
      <c r="M37" s="6"/>
      <c r="N37" s="6"/>
      <c r="O37" s="6"/>
      <c r="P37" s="6"/>
      <c r="Q37" s="6"/>
      <c r="R37" s="6"/>
      <c r="S37" s="6"/>
      <c r="T37" s="6"/>
      <c r="U37" s="6"/>
      <c r="V37" s="6"/>
      <c r="W37" s="6"/>
      <c r="X37" s="6"/>
    </row>
    <row r="38" spans="1:24" x14ac:dyDescent="0.25">
      <c r="A38" s="6"/>
      <c r="B38" s="6"/>
      <c r="C38" s="6"/>
      <c r="D38" s="6"/>
      <c r="E38" s="6"/>
      <c r="F38" s="6"/>
      <c r="G38" s="6"/>
      <c r="H38" s="6"/>
      <c r="I38" s="6"/>
      <c r="J38" s="6"/>
      <c r="K38" s="6"/>
      <c r="L38" s="6"/>
      <c r="M38" s="6"/>
      <c r="N38" s="6"/>
      <c r="O38" s="6"/>
      <c r="P38" s="6"/>
      <c r="Q38" s="6"/>
      <c r="R38" s="6"/>
      <c r="S38" s="6"/>
      <c r="T38" s="6"/>
      <c r="U38" s="6"/>
      <c r="V38" s="6"/>
      <c r="W38" s="6"/>
      <c r="X38" s="6"/>
    </row>
    <row r="39" spans="1:24" x14ac:dyDescent="0.25">
      <c r="A39" s="6"/>
      <c r="B39" s="6"/>
      <c r="C39" s="6"/>
      <c r="D39" s="6"/>
      <c r="E39" s="6"/>
      <c r="F39" s="6"/>
      <c r="G39" s="6"/>
      <c r="H39" s="6"/>
      <c r="I39" s="6"/>
      <c r="J39" s="6"/>
      <c r="K39" s="6"/>
      <c r="L39" s="6"/>
      <c r="M39" s="6"/>
      <c r="N39" s="6"/>
      <c r="O39" s="6"/>
      <c r="P39" s="6"/>
      <c r="Q39" s="6"/>
      <c r="R39" s="6"/>
      <c r="S39" s="6"/>
      <c r="T39" s="6"/>
      <c r="U39" s="6"/>
      <c r="V39" s="6"/>
      <c r="W39" s="6"/>
      <c r="X39" s="6"/>
    </row>
    <row r="40" spans="1:24" x14ac:dyDescent="0.25">
      <c r="A40" s="6"/>
      <c r="B40" s="6"/>
      <c r="C40" s="6"/>
      <c r="D40" s="6"/>
      <c r="E40" s="6"/>
      <c r="F40" s="6"/>
      <c r="G40" s="6"/>
      <c r="H40" s="6"/>
      <c r="I40" s="6"/>
      <c r="J40" s="6"/>
      <c r="K40" s="6"/>
      <c r="L40" s="6"/>
      <c r="M40" s="6"/>
      <c r="N40" s="6"/>
      <c r="O40" s="6"/>
      <c r="P40" s="6"/>
      <c r="Q40" s="6"/>
      <c r="R40" s="6"/>
      <c r="S40" s="6"/>
      <c r="T40" s="6"/>
      <c r="U40" s="6"/>
      <c r="V40" s="6"/>
      <c r="W40" s="6"/>
      <c r="X40" s="6"/>
    </row>
    <row r="41" spans="1:24" x14ac:dyDescent="0.25">
      <c r="A41" s="6"/>
      <c r="B41" s="6"/>
      <c r="C41" s="6"/>
      <c r="D41" s="6"/>
      <c r="E41" s="6"/>
      <c r="F41" s="6"/>
      <c r="G41" s="6"/>
      <c r="H41" s="6"/>
      <c r="I41" s="6"/>
      <c r="J41" s="6"/>
      <c r="K41" s="6"/>
      <c r="L41" s="6"/>
      <c r="M41" s="6"/>
      <c r="N41" s="6"/>
      <c r="O41" s="6"/>
      <c r="P41" s="6"/>
      <c r="Q41" s="6"/>
      <c r="R41" s="6"/>
      <c r="S41" s="6"/>
      <c r="T41" s="6"/>
      <c r="U41" s="6"/>
      <c r="V41" s="6"/>
      <c r="W41" s="6"/>
      <c r="X41" s="6"/>
    </row>
    <row r="42" spans="1:24" x14ac:dyDescent="0.25">
      <c r="A42" s="6"/>
      <c r="B42" s="6"/>
      <c r="C42" s="6"/>
      <c r="D42" s="6"/>
      <c r="E42" s="6"/>
      <c r="F42" s="6"/>
      <c r="G42" s="6"/>
      <c r="H42" s="6"/>
      <c r="I42" s="6"/>
      <c r="J42" s="6"/>
      <c r="K42" s="6"/>
      <c r="L42" s="6"/>
      <c r="M42" s="6"/>
      <c r="N42" s="6"/>
      <c r="O42" s="6"/>
      <c r="P42" s="6"/>
      <c r="Q42" s="6"/>
      <c r="R42" s="6"/>
      <c r="S42" s="6"/>
      <c r="T42" s="6"/>
      <c r="U42" s="6"/>
      <c r="V42" s="6"/>
      <c r="W42" s="6"/>
      <c r="X42" s="6"/>
    </row>
    <row r="43" spans="1:24" x14ac:dyDescent="0.25">
      <c r="A43" s="6"/>
      <c r="B43" s="6"/>
      <c r="C43" s="6"/>
      <c r="D43" s="6"/>
      <c r="E43" s="6"/>
      <c r="F43" s="6"/>
      <c r="G43" s="6"/>
      <c r="H43" s="6"/>
      <c r="I43" s="6"/>
      <c r="J43" s="6"/>
      <c r="K43" s="6"/>
      <c r="L43" s="6"/>
      <c r="M43" s="6"/>
      <c r="N43" s="6"/>
      <c r="O43" s="6"/>
      <c r="P43" s="6"/>
      <c r="Q43" s="6"/>
      <c r="R43" s="6"/>
      <c r="S43" s="6"/>
      <c r="T43" s="6"/>
      <c r="U43" s="6"/>
      <c r="V43" s="6"/>
      <c r="W43" s="6"/>
      <c r="X43" s="6"/>
    </row>
    <row r="44" spans="1:24" x14ac:dyDescent="0.25">
      <c r="A44" s="6"/>
      <c r="B44" s="6"/>
      <c r="C44" s="6"/>
      <c r="D44" s="6"/>
      <c r="E44" s="6"/>
      <c r="F44" s="6"/>
      <c r="G44" s="6"/>
      <c r="H44" s="6"/>
      <c r="I44" s="6"/>
      <c r="J44" s="6"/>
      <c r="K44" s="6"/>
      <c r="L44" s="6"/>
      <c r="M44" s="6"/>
      <c r="N44" s="6"/>
      <c r="O44" s="6"/>
      <c r="P44" s="6"/>
      <c r="Q44" s="6"/>
      <c r="R44" s="6"/>
      <c r="S44" s="6"/>
      <c r="T44" s="6"/>
      <c r="U44" s="6"/>
      <c r="V44" s="6"/>
      <c r="W44" s="6"/>
      <c r="X44" s="6"/>
    </row>
    <row r="45" spans="1:24" x14ac:dyDescent="0.25">
      <c r="A45" s="6"/>
      <c r="B45" s="6"/>
      <c r="C45" s="6"/>
      <c r="D45" s="6"/>
      <c r="E45" s="6"/>
      <c r="F45" s="6"/>
      <c r="G45" s="6"/>
      <c r="H45" s="6"/>
      <c r="I45" s="6"/>
      <c r="J45" s="6"/>
      <c r="K45" s="6"/>
      <c r="L45" s="6"/>
      <c r="M45" s="6"/>
      <c r="N45" s="6"/>
      <c r="O45" s="6"/>
      <c r="P45" s="6"/>
      <c r="Q45" s="6"/>
      <c r="R45" s="6"/>
      <c r="S45" s="6"/>
      <c r="T45" s="6"/>
      <c r="U45" s="6"/>
      <c r="V45" s="6"/>
      <c r="W45" s="6"/>
      <c r="X45" s="6"/>
    </row>
    <row r="46" spans="1:24" x14ac:dyDescent="0.25">
      <c r="A46" s="6"/>
      <c r="B46" s="6"/>
      <c r="C46" s="6"/>
      <c r="D46" s="6"/>
      <c r="E46" s="6"/>
      <c r="F46" s="6"/>
      <c r="G46" s="6"/>
      <c r="H46" s="6"/>
      <c r="I46" s="6"/>
      <c r="J46" s="6"/>
      <c r="K46" s="6"/>
      <c r="L46" s="6"/>
      <c r="M46" s="6"/>
      <c r="N46" s="6"/>
      <c r="O46" s="6"/>
      <c r="P46" s="6"/>
      <c r="Q46" s="6"/>
      <c r="R46" s="6"/>
      <c r="S46" s="6"/>
      <c r="T46" s="6"/>
      <c r="U46" s="6"/>
      <c r="V46" s="6"/>
      <c r="W46" s="6"/>
      <c r="X46" s="6"/>
    </row>
    <row r="47" spans="1:24" x14ac:dyDescent="0.25">
      <c r="A47" s="6"/>
      <c r="B47" s="6"/>
      <c r="C47" s="6"/>
      <c r="D47" s="6"/>
      <c r="E47" s="6"/>
      <c r="F47" s="6"/>
      <c r="G47" s="6"/>
      <c r="H47" s="6"/>
      <c r="I47" s="6"/>
      <c r="J47" s="6"/>
      <c r="K47" s="6"/>
      <c r="L47" s="6"/>
      <c r="M47" s="6"/>
      <c r="N47" s="6"/>
      <c r="O47" s="6"/>
      <c r="P47" s="6"/>
      <c r="Q47" s="6"/>
      <c r="R47" s="6"/>
      <c r="S47" s="6"/>
      <c r="T47" s="6"/>
      <c r="U47" s="6"/>
      <c r="V47" s="6"/>
      <c r="W47" s="6"/>
      <c r="X47" s="6"/>
    </row>
    <row r="48" spans="1:24" x14ac:dyDescent="0.25">
      <c r="A48" s="6"/>
      <c r="B48" s="6"/>
      <c r="C48" s="6"/>
      <c r="D48" s="6"/>
      <c r="E48" s="6"/>
      <c r="F48" s="6"/>
      <c r="G48" s="6"/>
      <c r="H48" s="6"/>
      <c r="I48" s="6"/>
      <c r="J48" s="6"/>
      <c r="K48" s="6"/>
      <c r="L48" s="6"/>
      <c r="M48" s="6"/>
      <c r="N48" s="6"/>
      <c r="O48" s="6"/>
      <c r="P48" s="6"/>
      <c r="Q48" s="6"/>
      <c r="R48" s="6"/>
      <c r="S48" s="6"/>
      <c r="T48" s="6"/>
      <c r="U48" s="6"/>
      <c r="V48" s="6"/>
      <c r="W48" s="6"/>
      <c r="X48" s="6"/>
    </row>
    <row r="49" spans="1:24" x14ac:dyDescent="0.25">
      <c r="A49" s="6"/>
      <c r="B49" s="6"/>
      <c r="C49" s="6"/>
      <c r="D49" s="6"/>
      <c r="E49" s="6"/>
      <c r="F49" s="6"/>
      <c r="G49" s="6"/>
      <c r="H49" s="6"/>
      <c r="I49" s="6"/>
      <c r="J49" s="6"/>
      <c r="K49" s="6"/>
      <c r="L49" s="6"/>
      <c r="M49" s="6"/>
      <c r="N49" s="6"/>
      <c r="O49" s="6"/>
      <c r="P49" s="6"/>
      <c r="Q49" s="6"/>
      <c r="R49" s="6"/>
      <c r="S49" s="6"/>
      <c r="T49" s="6"/>
      <c r="U49" s="6"/>
      <c r="V49" s="6"/>
      <c r="W49" s="6"/>
      <c r="X49" s="6"/>
    </row>
    <row r="50" spans="1:24" x14ac:dyDescent="0.25">
      <c r="A50" s="6"/>
      <c r="B50" s="6"/>
      <c r="C50" s="6"/>
      <c r="D50" s="6"/>
      <c r="E50" s="6"/>
      <c r="F50" s="6"/>
      <c r="G50" s="6"/>
      <c r="H50" s="6"/>
      <c r="I50" s="6"/>
      <c r="J50" s="6"/>
      <c r="K50" s="6"/>
      <c r="L50" s="6"/>
      <c r="M50" s="6"/>
      <c r="N50" s="6"/>
      <c r="O50" s="6"/>
      <c r="P50" s="6"/>
      <c r="Q50" s="6"/>
      <c r="R50" s="6"/>
      <c r="S50" s="6"/>
      <c r="T50" s="6"/>
      <c r="U50" s="6"/>
      <c r="V50" s="6"/>
      <c r="W50" s="6"/>
      <c r="X50"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KPI</vt:lpstr>
      <vt:lpstr>Rating</vt:lpstr>
      <vt:lpstr>Employee by Gender</vt:lpstr>
      <vt:lpstr>Education-wise Attrition</vt:lpstr>
      <vt:lpstr>Attrition By Job Role</vt:lpstr>
      <vt:lpstr>Department-wise Attrition</vt:lpstr>
      <vt:lpstr>Attrition By Age-Group</vt:lpstr>
      <vt:lpstr>Attrition By Marriage Status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Ayush Kumar</cp:lastModifiedBy>
  <dcterms:created xsi:type="dcterms:W3CDTF">2022-12-29T16:02:46Z</dcterms:created>
  <dcterms:modified xsi:type="dcterms:W3CDTF">2025-09-24T03:31:37Z</dcterms:modified>
</cp:coreProperties>
</file>